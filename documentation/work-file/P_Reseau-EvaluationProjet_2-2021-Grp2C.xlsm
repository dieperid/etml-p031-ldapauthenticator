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xl/comments2.xml" ContentType="application/vnd.openxmlformats-officedocument.spreadsheetml.comments+xml"/>
  <Override PartName="/xl/comments1.xml" ContentType="application/vnd.openxmlformats-officedocument.spreadsheetml.comments+xml"/>
  <Override PartName="/docProps/core.xml" ContentType="application/vnd.openxmlformats-package.core-propertie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7.xml" ContentType="application/vnd.ms-excel.controlproperties+xml"/>
  <Override PartName="/xl/comments4.xml" ContentType="application/vnd.openxmlformats-officedocument.spreadsheetml.comment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comments5.xml" ContentType="application/vnd.openxmlformats-officedocument.spreadsheetml.comments+xml"/>
  <Override PartName="/xl/ctrlProps/ctrlProp5.xml" ContentType="application/vnd.ms-excel.controlproperties+xml"/>
  <Override PartName="/xl/comments7.xml" ContentType="application/vnd.openxmlformats-officedocument.spreadsheetml.comments+xml"/>
  <Override PartName="/xl/ctrlProps/ctrlProp2.xml" ContentType="application/vnd.ms-excel.controlproperties+xml"/>
  <Override PartName="/xl/ctrlProps/ctrlProp3.xml" ContentType="application/vnd.ms-excel.controlproperties+xml"/>
  <Override PartName="/xl/comments6.xml" ContentType="application/vnd.openxmlformats-officedocument.spreadsheetml.comments+xml"/>
  <Override PartName="/xl/ctrlProps/ctrlProp4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Admin\Desktop\P_Reseau\"/>
    </mc:Choice>
  </mc:AlternateContent>
  <bookViews>
    <workbookView xWindow="0" yWindow="0" windowWidth="28800" windowHeight="12300" tabRatio="772" firstSheet="2" activeTab="2"/>
  </bookViews>
  <sheets>
    <sheet name="Parametres" sheetId="38" state="hidden" r:id="rId1"/>
    <sheet name="ObjectifMaster" sheetId="37" state="hidden" r:id="rId2"/>
    <sheet name="Intro" sheetId="35" r:id="rId3"/>
    <sheet name="Objectif1" sheetId="62" r:id="rId4"/>
    <sheet name="Objectif2" sheetId="66" r:id="rId5"/>
    <sheet name="Objectif3" sheetId="68" r:id="rId6"/>
    <sheet name="Objectif4" sheetId="70" r:id="rId7"/>
    <sheet name="Objectif5" sheetId="72" r:id="rId8"/>
    <sheet name="GrilleMaster" sheetId="104" state="hidden" r:id="rId9"/>
  </sheets>
  <definedNames>
    <definedName name="ErrCorrection">Parametres!$B$3</definedName>
    <definedName name="FormatConditionnel1">Parametres!$B$5</definedName>
    <definedName name="FormatConditionnel2">Parametres!$B$6</definedName>
    <definedName name="FormatConditionnel3">Parametres!$B$7</definedName>
    <definedName name="FormatConditionnel4">Parametres!$B$8</definedName>
    <definedName name="FormatMoyenneClasse1">Parametres!$B$9</definedName>
    <definedName name="FormatMoyenneClasse5">Parametres!$B$10</definedName>
    <definedName name="FormatNoteEleve1">Parametres!$B$11</definedName>
    <definedName name="FormatNoteEleve5">Parametres!$B$12</definedName>
    <definedName name="NivTaxo">Parametres!$B$4</definedName>
    <definedName name="PointsAttributions">Parametres!$B$2</definedName>
    <definedName name="_xlnm.Print_Area" localSheetId="2">Intro!$A$1:$D$55</definedName>
  </definedNames>
  <calcPr calcId="152511"/>
</workbook>
</file>

<file path=xl/calcChain.xml><?xml version="1.0" encoding="utf-8"?>
<calcChain xmlns="http://schemas.openxmlformats.org/spreadsheetml/2006/main">
  <c r="E2" i="104" l="1"/>
  <c r="F2" i="104" s="1"/>
  <c r="D47" i="104"/>
  <c r="C47" i="104"/>
  <c r="D46" i="104"/>
  <c r="B46" i="104"/>
  <c r="G45" i="104"/>
  <c r="F45" i="104"/>
  <c r="C45" i="104"/>
  <c r="B45" i="104"/>
  <c r="A45" i="104"/>
  <c r="G44" i="104"/>
  <c r="F44" i="104"/>
  <c r="C44" i="104"/>
  <c r="B44" i="104"/>
  <c r="A44" i="104"/>
  <c r="G43" i="104"/>
  <c r="F43" i="104"/>
  <c r="C43" i="104"/>
  <c r="B43" i="104"/>
  <c r="A43" i="104"/>
  <c r="G42" i="104"/>
  <c r="F42" i="104"/>
  <c r="C42" i="104"/>
  <c r="B42" i="104"/>
  <c r="A42" i="104"/>
  <c r="G41" i="104"/>
  <c r="F41" i="104"/>
  <c r="C41" i="104"/>
  <c r="B41" i="104"/>
  <c r="A41" i="104"/>
  <c r="C40" i="104"/>
  <c r="B40" i="104"/>
  <c r="A40" i="104"/>
  <c r="D39" i="104"/>
  <c r="C39" i="104"/>
  <c r="D38" i="104"/>
  <c r="B38" i="104"/>
  <c r="G37" i="104"/>
  <c r="F37" i="104"/>
  <c r="C37" i="104"/>
  <c r="B37" i="104"/>
  <c r="A37" i="104"/>
  <c r="G36" i="104"/>
  <c r="F36" i="104"/>
  <c r="C36" i="104"/>
  <c r="B36" i="104"/>
  <c r="A36" i="104"/>
  <c r="G35" i="104"/>
  <c r="F35" i="104"/>
  <c r="C35" i="104"/>
  <c r="B35" i="104"/>
  <c r="A35" i="104"/>
  <c r="G34" i="104"/>
  <c r="F34" i="104"/>
  <c r="C34" i="104"/>
  <c r="B34" i="104"/>
  <c r="A34" i="104"/>
  <c r="G33" i="104"/>
  <c r="F33" i="104"/>
  <c r="C33" i="104"/>
  <c r="B33" i="104"/>
  <c r="A33" i="104"/>
  <c r="G32" i="104"/>
  <c r="F32" i="104"/>
  <c r="C32" i="104"/>
  <c r="B32" i="104"/>
  <c r="A32" i="104"/>
  <c r="C31" i="104"/>
  <c r="B31" i="104"/>
  <c r="A31" i="104"/>
  <c r="D30" i="104"/>
  <c r="C30" i="104"/>
  <c r="D29" i="104"/>
  <c r="B29" i="104"/>
  <c r="G28" i="104"/>
  <c r="F28" i="104"/>
  <c r="C28" i="104"/>
  <c r="B28" i="104"/>
  <c r="A28" i="104"/>
  <c r="G27" i="104"/>
  <c r="F27" i="104"/>
  <c r="C27" i="104"/>
  <c r="B27" i="104"/>
  <c r="A27" i="104"/>
  <c r="G26" i="104"/>
  <c r="F26" i="104"/>
  <c r="C26" i="104"/>
  <c r="B26" i="104"/>
  <c r="A26" i="104"/>
  <c r="G25" i="104"/>
  <c r="F25" i="104"/>
  <c r="C25" i="104"/>
  <c r="B25" i="104"/>
  <c r="A25" i="104"/>
  <c r="G24" i="104"/>
  <c r="F24" i="104"/>
  <c r="C24" i="104"/>
  <c r="B24" i="104"/>
  <c r="A24" i="104"/>
  <c r="G23" i="104"/>
  <c r="F23" i="104"/>
  <c r="C23" i="104"/>
  <c r="B23" i="104"/>
  <c r="A23" i="104"/>
  <c r="C22" i="104"/>
  <c r="B22" i="104"/>
  <c r="A22" i="104"/>
  <c r="D21" i="104"/>
  <c r="C21" i="104"/>
  <c r="D20" i="104"/>
  <c r="B20" i="104"/>
  <c r="G19" i="104"/>
  <c r="F19" i="104"/>
  <c r="C19" i="104"/>
  <c r="B19" i="104"/>
  <c r="A19" i="104"/>
  <c r="G18" i="104"/>
  <c r="F18" i="104"/>
  <c r="C18" i="104"/>
  <c r="B18" i="104"/>
  <c r="A18" i="104"/>
  <c r="C17" i="104"/>
  <c r="B17" i="104"/>
  <c r="A17" i="104"/>
  <c r="D16" i="104"/>
  <c r="C16" i="104"/>
  <c r="D15" i="104"/>
  <c r="B15" i="104"/>
  <c r="G14" i="104"/>
  <c r="F14" i="104"/>
  <c r="C14" i="104"/>
  <c r="B14" i="104"/>
  <c r="A14" i="104"/>
  <c r="G13" i="104"/>
  <c r="F13" i="104"/>
  <c r="C13" i="104"/>
  <c r="B13" i="104"/>
  <c r="A13" i="104"/>
  <c r="G12" i="104"/>
  <c r="F12" i="104"/>
  <c r="C12" i="104"/>
  <c r="B12" i="104"/>
  <c r="A12" i="104"/>
  <c r="G11" i="104"/>
  <c r="F11" i="104"/>
  <c r="C11" i="104"/>
  <c r="B11" i="104"/>
  <c r="A11" i="104"/>
  <c r="G10" i="104"/>
  <c r="F10" i="104"/>
  <c r="C10" i="104"/>
  <c r="B10" i="104"/>
  <c r="A10" i="104"/>
  <c r="G9" i="104"/>
  <c r="F9" i="104"/>
  <c r="C9" i="104"/>
  <c r="B9" i="104"/>
  <c r="A9" i="104"/>
  <c r="G8" i="104"/>
  <c r="F8" i="104"/>
  <c r="C8" i="104"/>
  <c r="B8" i="104"/>
  <c r="A8" i="104"/>
  <c r="G7" i="104"/>
  <c r="F7" i="104"/>
  <c r="C7" i="104"/>
  <c r="B7" i="104"/>
  <c r="A7" i="104"/>
  <c r="G6" i="104"/>
  <c r="F6" i="104"/>
  <c r="C6" i="104"/>
  <c r="B6" i="104"/>
  <c r="A6" i="104"/>
  <c r="G5" i="104"/>
  <c r="F5" i="104"/>
  <c r="C5" i="104"/>
  <c r="B5" i="104"/>
  <c r="A5" i="104"/>
  <c r="C4" i="104"/>
  <c r="B4" i="104"/>
  <c r="A4" i="104"/>
  <c r="A2" i="104"/>
  <c r="A1" i="104"/>
  <c r="C2" i="104"/>
  <c r="C1" i="104"/>
  <c r="B3" i="38" l="1"/>
  <c r="D13" i="35" l="1"/>
  <c r="C13" i="35"/>
  <c r="E1" i="104" l="1"/>
  <c r="F1" i="104"/>
</calcChain>
</file>

<file path=xl/comments1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2.xml><?xml version="1.0" encoding="utf-8"?>
<comments xmlns="http://schemas.openxmlformats.org/spreadsheetml/2006/main">
  <authors>
    <author>Gilbert Gruaz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Gilbert Gruaz:</t>
        </r>
        <r>
          <rPr>
            <sz val="9"/>
            <color indexed="81"/>
            <rFont val="Tahoma"/>
            <family val="2"/>
          </rPr>
          <t xml:space="preserve">
Introduire le nom du correcteur et, éventuellement la date de correction</t>
        </r>
      </text>
    </comment>
  </commentList>
</comments>
</file>

<file path=xl/comments3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4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5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6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7.xml><?xml version="1.0" encoding="utf-8"?>
<comments xmlns="http://schemas.openxmlformats.org/spreadsheetml/2006/main">
  <authors>
    <author>Roberto Ferrari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sharedStrings.xml><?xml version="1.0" encoding="utf-8"?>
<sst xmlns="http://schemas.openxmlformats.org/spreadsheetml/2006/main" count="342" uniqueCount="120">
  <si>
    <t>Note au 5/10</t>
  </si>
  <si>
    <t>Note au 1/10</t>
  </si>
  <si>
    <t>Moyenne</t>
  </si>
  <si>
    <t>Objectif</t>
  </si>
  <si>
    <t>Poids</t>
  </si>
  <si>
    <t>Taxonomie</t>
  </si>
  <si>
    <t>Indicateurs</t>
  </si>
  <si>
    <t>Révélateurs</t>
  </si>
  <si>
    <t>Comportements</t>
  </si>
  <si>
    <t>Nom de l'objectif</t>
  </si>
  <si>
    <t>Poids de l'objectif</t>
  </si>
  <si>
    <t>Valeur</t>
  </si>
  <si>
    <t>Explications</t>
  </si>
  <si>
    <t>Calcul du nombre de point à ajoûter à la note au dixième pour compenser l'erreur de correction selon le taux d'erreur mentionné dans Intro</t>
  </si>
  <si>
    <t>Cellule qui contient la liste des niveaux taxonomiques souhaités (Bloom, ou autre)</t>
  </si>
  <si>
    <t>Cellule dont la validation de données contient la liste des points pouvant être attibués : 0,1,2,3 ou blanc</t>
  </si>
  <si>
    <t xml:space="preserve">Correction : </t>
  </si>
  <si>
    <t xml:space="preserve">Taux d'erreur de correction : </t>
  </si>
  <si>
    <t>Cellule qui contient le format conditionnel utile à la coloration des remarques générales selon le nombre de points attribués</t>
  </si>
  <si>
    <t>Critère parfait : 
3pts  si …</t>
  </si>
  <si>
    <t>Critère suffisant :
2pts si …</t>
  </si>
  <si>
    <t xml:space="preserve">Critère inacceptable :
0pt si ... </t>
  </si>
  <si>
    <t>Critère insuffisant :
1pt si …</t>
  </si>
  <si>
    <t>FormatConditionnel1</t>
  </si>
  <si>
    <t>FormatConditionnel2</t>
  </si>
  <si>
    <t>FormatConditionnel3</t>
  </si>
  <si>
    <t>NivTaxo</t>
  </si>
  <si>
    <t>ErrCorrection</t>
  </si>
  <si>
    <t>Cellule qui contient le format conditionnel utile à la présentation, dans la synthèse, des points attribués aux comportements mesurés</t>
  </si>
  <si>
    <t>Cellule qui contient le format conditionnel utile à la présentation, dans la synthèse, des notes calculées pour chacun des objectifs</t>
  </si>
  <si>
    <t>Cellule qui contient le format conditionnel utile à la présentation, dans la synthèse, des notes calculées pour chaque élève</t>
  </si>
  <si>
    <t>FormatConditionnel4</t>
  </si>
  <si>
    <t>PointsAttributions</t>
  </si>
  <si>
    <t>Nom de la cellule</t>
  </si>
  <si>
    <t>Explication / utilisation</t>
  </si>
  <si>
    <t>FormatMoyenneClasse1</t>
  </si>
  <si>
    <t>FormatMoyenneClasse5</t>
  </si>
  <si>
    <t>Cellule qui contient le format d'affichage de la moyenne de classe au 5/10 dans les onglets des élèves</t>
  </si>
  <si>
    <t>Cellule qui contient le format d'affichage de la moyenne de classe au 1/10 dans les onglets des élèves</t>
  </si>
  <si>
    <t>Cellule qui contient le format d'affichage de la note de l'élève au 1/10 dans les onglets des élèves</t>
  </si>
  <si>
    <t>Cellule qui contient le format d'affichage de la note de l'élève au 5/10 dans les onglets des élèves</t>
  </si>
  <si>
    <t>FormatNoteEleve1</t>
  </si>
  <si>
    <t>FormatNoteEleve5</t>
  </si>
  <si>
    <t>Applique</t>
  </si>
  <si>
    <t>Présent et correct</t>
  </si>
  <si>
    <t>Manquant</t>
  </si>
  <si>
    <t>Introduction</t>
  </si>
  <si>
    <t>Conclusion</t>
  </si>
  <si>
    <t>Objectifs et comportements observés</t>
  </si>
  <si>
    <t>Révélateurs attendus</t>
  </si>
  <si>
    <t>Points attribués</t>
  </si>
  <si>
    <t>Remarques personnalisées</t>
  </si>
  <si>
    <t>Remarques générales</t>
  </si>
  <si>
    <t>points max / points obtenus / note</t>
  </si>
  <si>
    <t>Prénoms</t>
  </si>
  <si>
    <t>Rapport</t>
  </si>
  <si>
    <t>Selon CDC</t>
  </si>
  <si>
    <t>2 documents : Word et PDF</t>
  </si>
  <si>
    <t>Rendu des documents au format Word et PDF</t>
  </si>
  <si>
    <t>Page de garde avec un titre</t>
  </si>
  <si>
    <t xml:space="preserve">Entête et pied de page </t>
  </si>
  <si>
    <t>Table des matières</t>
  </si>
  <si>
    <t>Réalisation</t>
  </si>
  <si>
    <t>Mise en forme et construction</t>
  </si>
  <si>
    <t>Architecture virtuelle</t>
  </si>
  <si>
    <t>Parfait</t>
  </si>
  <si>
    <t>À améliorer</t>
  </si>
  <si>
    <t>Intention perceptible</t>
  </si>
  <si>
    <t>Configuration selon schéma réseau</t>
  </si>
  <si>
    <t>VM Windows Server 2019</t>
  </si>
  <si>
    <t>VM Windows 10</t>
  </si>
  <si>
    <t>Developpements C#</t>
  </si>
  <si>
    <t>Le projet compile et pas d'erreurs</t>
  </si>
  <si>
    <t>Projet sans erreurs</t>
  </si>
  <si>
    <t>Compilation réussie</t>
  </si>
  <si>
    <t>Entêtes de fichier</t>
  </si>
  <si>
    <t>Normes</t>
  </si>
  <si>
    <t>//Auteur, date, lieu</t>
  </si>
  <si>
    <t>Complet et en début de fichier</t>
  </si>
  <si>
    <t>Complet mais pas en début de fichier</t>
  </si>
  <si>
    <t>Incomplet</t>
  </si>
  <si>
    <t>Entêtes de classes/méthodes</t>
  </si>
  <si>
    <t>///&lt;summary&gt;...</t>
  </si>
  <si>
    <t>&lt;50%</t>
  </si>
  <si>
    <t>Commentaires</t>
  </si>
  <si>
    <t>//Information utile ...</t>
  </si>
  <si>
    <t>Noms de variables, classes et méthodes</t>
  </si>
  <si>
    <t>Selon conventions</t>
  </si>
  <si>
    <t>Clarté du code</t>
  </si>
  <si>
    <t>1 fichier par classe, variables autodescriptives,...</t>
  </si>
  <si>
    <t>Configuration du firewall sur Windows (serveur)</t>
  </si>
  <si>
    <t>P_Réseau</t>
  </si>
  <si>
    <t>Journal de travail</t>
  </si>
  <si>
    <t>Texte justifé et utilisation de la police Verdana</t>
  </si>
  <si>
    <t>Description :  Evaluation projet 2 (LDAP)</t>
  </si>
  <si>
    <t>Sources</t>
  </si>
  <si>
    <t>Authentification et accès d’un utilisateur à l'AD</t>
  </si>
  <si>
    <t>Authentification</t>
  </si>
  <si>
    <t>Affichage des informations de l'utilisatreur selon le tableau</t>
  </si>
  <si>
    <t>Affichage des données</t>
  </si>
  <si>
    <t>Utilisation du fichier de config selon la donnée</t>
  </si>
  <si>
    <t>Fichier de log généré et actualisé</t>
  </si>
  <si>
    <t>Log dans une console graphique</t>
  </si>
  <si>
    <t>Configuration dans le rapport</t>
  </si>
  <si>
    <t>Utilisation de LDAP Browser</t>
  </si>
  <si>
    <t>LDAP Browser décrit dans le rapport</t>
  </si>
  <si>
    <t>Tableau avec les tests fonctionnels</t>
  </si>
  <si>
    <t>Tableau des tests fonctionnels</t>
  </si>
  <si>
    <t>Démonstration du fonctionnement dans le rapport</t>
  </si>
  <si>
    <t>Démonstration du fonctionnement</t>
  </si>
  <si>
    <t>Schéma réseau avec les interractions</t>
  </si>
  <si>
    <t>Schéma d'interractions</t>
  </si>
  <si>
    <t>Fichier de config selon le CdC</t>
  </si>
  <si>
    <t>Fichier de log selon le CdC</t>
  </si>
  <si>
    <t>Log dans la console selon le CdC</t>
  </si>
  <si>
    <t>Mise en place des 2 VM's</t>
  </si>
  <si>
    <t>Application LDAP</t>
  </si>
  <si>
    <t>Schéma réalisé</t>
  </si>
  <si>
    <t>Gestion des erreurs</t>
  </si>
  <si>
    <t>Configurations et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</si>
</sst>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&quot;Note finale au 1/10 : &quot;\ 0.0"/>
    <numFmt numFmtId="166" formatCode="&quot;Note finale au 5/10 : &quot;\ 0.0"/>
    <numFmt numFmtId="167" formatCode="&quot;Moyenne de classe (notes au 1/10) : &quot;\ 0.0"/>
    <numFmt numFmtId="168" formatCode="&quot;Moyenne de classe (notes au 5/10) : &quot;\ 0.0"/>
  </numFmts>
  <fonts count="35">
    <font>
      <sz val="1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name val="Century Gothic"/>
      <family val="2"/>
    </font>
    <font>
      <b/>
      <sz val="9"/>
      <name val="Comic Sans MS"/>
      <family val="4"/>
    </font>
    <font>
      <i/>
      <sz val="9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sz val="8"/>
      <name val="Comic Sans MS"/>
      <family val="4"/>
    </font>
    <font>
      <b/>
      <sz val="11"/>
      <color theme="1"/>
      <name val="Century Gothic"/>
      <family val="2"/>
      <scheme val="minor"/>
    </font>
    <font>
      <sz val="9"/>
      <name val="Comic Sans MS"/>
      <family val="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b/>
      <sz val="10"/>
      <name val="Century Gothic"/>
      <family val="2"/>
    </font>
    <font>
      <i/>
      <sz val="10"/>
      <name val="Century Gothic"/>
      <family val="2"/>
    </font>
    <font>
      <sz val="8"/>
      <name val="Century Gothic"/>
      <family val="2"/>
    </font>
    <font>
      <sz val="9"/>
      <name val="Century Gothic"/>
      <family val="2"/>
    </font>
    <font>
      <b/>
      <sz val="9"/>
      <name val="Century Gothic"/>
      <family val="2"/>
    </font>
    <font>
      <b/>
      <sz val="12"/>
      <name val="Comic Sans MS"/>
      <family val="4"/>
    </font>
    <font>
      <b/>
      <i/>
      <sz val="11"/>
      <name val="Century Gothic"/>
      <family val="2"/>
    </font>
    <font>
      <sz val="11"/>
      <name val="Century Gothic"/>
      <family val="2"/>
    </font>
    <font>
      <sz val="11"/>
      <name val="Century Gothic"/>
      <family val="2"/>
      <scheme val="minor"/>
    </font>
    <font>
      <b/>
      <sz val="10"/>
      <name val="Century Gothic"/>
      <family val="2"/>
      <scheme val="minor"/>
    </font>
    <font>
      <b/>
      <sz val="15"/>
      <color theme="3"/>
      <name val="Century Gothic"/>
      <family val="1"/>
      <scheme val="major"/>
    </font>
    <font>
      <b/>
      <sz val="13"/>
      <color theme="3"/>
      <name val="Century Gothic"/>
      <family val="1"/>
      <scheme val="major"/>
    </font>
    <font>
      <b/>
      <sz val="11"/>
      <color theme="3"/>
      <name val="Century Gothic"/>
      <family val="1"/>
      <scheme val="major"/>
    </font>
    <font>
      <b/>
      <sz val="11"/>
      <color theme="1"/>
      <name val="Century Gothic"/>
      <family val="1"/>
      <scheme val="major"/>
    </font>
    <font>
      <b/>
      <sz val="18"/>
      <color theme="3"/>
      <name val="Century Gothic"/>
      <family val="2"/>
      <scheme val="major"/>
    </font>
    <font>
      <sz val="10"/>
      <name val="Century Gothic"/>
      <family val="2"/>
      <scheme val="minor"/>
    </font>
    <font>
      <b/>
      <sz val="10"/>
      <color theme="0"/>
      <name val="Century Gothic"/>
      <family val="2"/>
      <scheme val="minor"/>
    </font>
    <font>
      <sz val="10"/>
      <color theme="1"/>
      <name val="Century Gothic"/>
      <family val="2"/>
      <scheme val="minor"/>
    </font>
    <font>
      <b/>
      <sz val="11"/>
      <name val="Century Gothic"/>
      <family val="2"/>
      <scheme val="minor"/>
    </font>
    <font>
      <b/>
      <sz val="16"/>
      <name val="Century Gothic"/>
      <family val="2"/>
      <scheme val="minor"/>
    </font>
    <font>
      <i/>
      <sz val="11"/>
      <name val="Century Gothic"/>
      <family val="2"/>
      <scheme val="minor"/>
    </font>
    <font>
      <sz val="11"/>
      <color rgb="FF000000"/>
      <name val="CenturyGothic"/>
    </font>
  </fonts>
  <fills count="1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theme="3" tint="0.5999938962981048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9">
    <xf numFmtId="0" fontId="0" fillId="0" borderId="0"/>
    <xf numFmtId="0" fontId="21" fillId="0" borderId="0"/>
    <xf numFmtId="0" fontId="22" fillId="0" borderId="0"/>
    <xf numFmtId="0" fontId="23" fillId="0" borderId="16" applyNumberFormat="0" applyFill="0" applyAlignment="0" applyProtection="0"/>
    <xf numFmtId="0" fontId="24" fillId="0" borderId="17" applyNumberFormat="0" applyFill="0" applyAlignment="0" applyProtection="0"/>
    <xf numFmtId="0" fontId="25" fillId="0" borderId="18" applyNumberFormat="0" applyFill="0" applyAlignment="0" applyProtection="0"/>
    <xf numFmtId="0" fontId="25" fillId="0" borderId="0" applyNumberFormat="0" applyFill="0" applyBorder="0" applyAlignment="0" applyProtection="0"/>
    <xf numFmtId="0" fontId="26" fillId="0" borderId="19" applyNumberFormat="0" applyFill="0" applyAlignment="0" applyProtection="0"/>
    <xf numFmtId="0" fontId="27" fillId="0" borderId="0" applyNumberFormat="0" applyFill="0" applyBorder="0" applyAlignment="0" applyProtection="0"/>
  </cellStyleXfs>
  <cellXfs count="133">
    <xf numFmtId="0" fontId="0" fillId="0" borderId="0" xfId="0"/>
    <xf numFmtId="0" fontId="7" fillId="0" borderId="0" xfId="2" applyFont="1" applyAlignment="1" applyProtection="1">
      <alignment vertical="center"/>
    </xf>
    <xf numFmtId="0" fontId="7" fillId="0" borderId="0" xfId="2" applyFont="1" applyAlignment="1" applyProtection="1">
      <alignment vertical="center" wrapText="1"/>
    </xf>
    <xf numFmtId="0" fontId="5" fillId="0" borderId="0" xfId="2" applyFont="1" applyAlignment="1" applyProtection="1">
      <alignment vertical="center" wrapText="1"/>
    </xf>
    <xf numFmtId="0" fontId="9" fillId="0" borderId="0" xfId="2" applyFont="1" applyAlignment="1" applyProtection="1">
      <alignment vertical="center"/>
    </xf>
    <xf numFmtId="0" fontId="9" fillId="0" borderId="0" xfId="2" applyFont="1" applyBorder="1" applyAlignment="1" applyProtection="1">
      <alignment horizontal="center" vertical="center"/>
    </xf>
    <xf numFmtId="0" fontId="5" fillId="0" borderId="0" xfId="2" applyFont="1" applyAlignment="1" applyProtection="1">
      <alignment vertical="center"/>
    </xf>
    <xf numFmtId="0" fontId="9" fillId="0" borderId="0" xfId="2" applyFont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vertical="center" wrapText="1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0" fontId="2" fillId="0" borderId="0" xfId="0" applyFont="1" applyFill="1" applyBorder="1" applyAlignment="1" applyProtection="1">
      <alignment horizontal="center" vertical="center" wrapText="1"/>
    </xf>
    <xf numFmtId="0" fontId="13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16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vertical="center" wrapText="1"/>
    </xf>
    <xf numFmtId="0" fontId="4" fillId="7" borderId="2" xfId="2" applyFont="1" applyFill="1" applyBorder="1" applyAlignment="1" applyProtection="1">
      <alignment vertical="center" wrapText="1"/>
      <protection locked="0"/>
    </xf>
    <xf numFmtId="0" fontId="5" fillId="7" borderId="2" xfId="2" applyFont="1" applyFill="1" applyBorder="1" applyAlignment="1" applyProtection="1">
      <alignment vertical="center"/>
    </xf>
    <xf numFmtId="0" fontId="7" fillId="7" borderId="2" xfId="2" applyFont="1" applyFill="1" applyBorder="1" applyAlignment="1" applyProtection="1">
      <alignment vertical="center"/>
    </xf>
    <xf numFmtId="0" fontId="7" fillId="7" borderId="3" xfId="2" applyFont="1" applyFill="1" applyBorder="1" applyAlignment="1" applyProtection="1">
      <alignment vertical="center"/>
    </xf>
    <xf numFmtId="0" fontId="4" fillId="7" borderId="4" xfId="2" applyFont="1" applyFill="1" applyBorder="1" applyAlignment="1" applyProtection="1">
      <alignment vertical="center"/>
    </xf>
    <xf numFmtId="0" fontId="5" fillId="7" borderId="4" xfId="2" applyFont="1" applyFill="1" applyBorder="1" applyAlignment="1" applyProtection="1">
      <alignment vertical="center" wrapText="1"/>
    </xf>
    <xf numFmtId="0" fontId="5" fillId="7" borderId="4" xfId="2" applyFont="1" applyFill="1" applyBorder="1" applyAlignment="1" applyProtection="1">
      <alignment vertical="center"/>
    </xf>
    <xf numFmtId="0" fontId="7" fillId="7" borderId="4" xfId="2" applyFont="1" applyFill="1" applyBorder="1" applyAlignment="1" applyProtection="1">
      <alignment vertical="center"/>
    </xf>
    <xf numFmtId="0" fontId="7" fillId="7" borderId="5" xfId="2" applyFont="1" applyFill="1" applyBorder="1" applyAlignment="1" applyProtection="1">
      <alignment vertical="center"/>
    </xf>
    <xf numFmtId="0" fontId="3" fillId="0" borderId="6" xfId="2" applyFont="1" applyBorder="1" applyAlignment="1" applyProtection="1">
      <alignment horizontal="center" vertical="center"/>
    </xf>
    <xf numFmtId="0" fontId="6" fillId="0" borderId="7" xfId="2" applyFont="1" applyBorder="1" applyAlignment="1" applyProtection="1">
      <alignment horizontal="center" vertical="center" wrapText="1"/>
    </xf>
    <xf numFmtId="0" fontId="6" fillId="0" borderId="7" xfId="2" applyFont="1" applyBorder="1" applyAlignment="1" applyProtection="1">
      <alignment horizontal="center" vertical="center"/>
    </xf>
    <xf numFmtId="0" fontId="8" fillId="0" borderId="7" xfId="2" applyFont="1" applyBorder="1" applyAlignment="1">
      <alignment horizontal="center" wrapText="1"/>
    </xf>
    <xf numFmtId="0" fontId="8" fillId="0" borderId="8" xfId="2" applyFont="1" applyBorder="1" applyAlignment="1">
      <alignment horizontal="center" wrapText="1"/>
    </xf>
    <xf numFmtId="0" fontId="22" fillId="8" borderId="9" xfId="2" applyFill="1" applyBorder="1" applyAlignment="1" applyProtection="1">
      <alignment horizontal="center" vertical="center" wrapText="1"/>
      <protection locked="0"/>
    </xf>
    <xf numFmtId="0" fontId="5" fillId="8" borderId="10" xfId="2" applyFont="1" applyFill="1" applyBorder="1" applyAlignment="1" applyProtection="1">
      <alignment vertical="center" wrapText="1"/>
      <protection locked="0"/>
    </xf>
    <xf numFmtId="0" fontId="7" fillId="8" borderId="10" xfId="2" applyFont="1" applyFill="1" applyBorder="1" applyAlignment="1" applyProtection="1">
      <alignment vertical="center" wrapText="1"/>
      <protection locked="0"/>
    </xf>
    <xf numFmtId="0" fontId="7" fillId="8" borderId="10" xfId="2" applyFont="1" applyFill="1" applyBorder="1" applyAlignment="1" applyProtection="1">
      <alignment horizontal="center" vertical="center" wrapText="1"/>
      <protection locked="0"/>
    </xf>
    <xf numFmtId="0" fontId="7" fillId="8" borderId="11" xfId="2" applyFont="1" applyFill="1" applyBorder="1" applyAlignment="1" applyProtection="1">
      <alignment vertical="center" wrapText="1"/>
      <protection locked="0"/>
    </xf>
    <xf numFmtId="0" fontId="22" fillId="0" borderId="9" xfId="2" applyFill="1" applyBorder="1" applyAlignment="1" applyProtection="1">
      <alignment horizontal="center" vertical="center" wrapText="1"/>
      <protection locked="0"/>
    </xf>
    <xf numFmtId="0" fontId="5" fillId="0" borderId="10" xfId="2" applyFont="1" applyBorder="1" applyAlignment="1" applyProtection="1">
      <alignment vertical="center" wrapText="1"/>
      <protection locked="0"/>
    </xf>
    <xf numFmtId="0" fontId="7" fillId="0" borderId="10" xfId="2" applyFont="1" applyBorder="1" applyAlignment="1" applyProtection="1">
      <alignment vertical="center" wrapText="1"/>
      <protection locked="0"/>
    </xf>
    <xf numFmtId="0" fontId="7" fillId="0" borderId="10" xfId="2" applyFont="1" applyBorder="1" applyAlignment="1" applyProtection="1">
      <alignment horizontal="center" vertical="center" wrapText="1"/>
      <protection locked="0"/>
    </xf>
    <xf numFmtId="0" fontId="7" fillId="0" borderId="11" xfId="2" applyFont="1" applyBorder="1" applyAlignment="1" applyProtection="1">
      <alignment vertical="center" wrapText="1"/>
      <protection locked="0"/>
    </xf>
    <xf numFmtId="0" fontId="18" fillId="7" borderId="1" xfId="2" applyFont="1" applyFill="1" applyBorder="1" applyAlignment="1" applyProtection="1">
      <alignment horizontal="right" vertical="center" indent="1"/>
    </xf>
    <xf numFmtId="0" fontId="4" fillId="7" borderId="2" xfId="2" applyFont="1" applyFill="1" applyBorder="1" applyAlignment="1" applyProtection="1">
      <alignment horizontal="center" vertical="center"/>
      <protection locked="0"/>
    </xf>
    <xf numFmtId="0" fontId="18" fillId="7" borderId="2" xfId="2" applyFont="1" applyFill="1" applyBorder="1" applyAlignment="1" applyProtection="1">
      <alignment horizontal="right" vertical="center"/>
    </xf>
    <xf numFmtId="0" fontId="5" fillId="7" borderId="4" xfId="2" applyFont="1" applyFill="1" applyBorder="1" applyAlignment="1" applyProtection="1">
      <alignment horizontal="center" vertical="center" wrapText="1"/>
    </xf>
    <xf numFmtId="0" fontId="16" fillId="3" borderId="10" xfId="0" applyFont="1" applyFill="1" applyBorder="1" applyAlignment="1" applyProtection="1">
      <alignment vertical="center"/>
      <protection locked="0"/>
    </xf>
    <xf numFmtId="164" fontId="16" fillId="5" borderId="10" xfId="0" applyNumberFormat="1" applyFont="1" applyFill="1" applyBorder="1" applyAlignment="1" applyProtection="1">
      <alignment horizontal="center" vertical="center" wrapText="1"/>
    </xf>
    <xf numFmtId="164" fontId="17" fillId="6" borderId="10" xfId="0" applyNumberFormat="1" applyFont="1" applyFill="1" applyBorder="1" applyAlignment="1" applyProtection="1">
      <alignment horizontal="center" vertical="center"/>
    </xf>
    <xf numFmtId="164" fontId="16" fillId="5" borderId="10" xfId="0" applyNumberFormat="1" applyFont="1" applyFill="1" applyBorder="1" applyAlignment="1" applyProtection="1">
      <alignment horizontal="center" vertical="center"/>
    </xf>
    <xf numFmtId="0" fontId="19" fillId="3" borderId="10" xfId="0" applyFont="1" applyFill="1" applyBorder="1" applyAlignment="1" applyProtection="1">
      <alignment horizontal="center" vertical="center"/>
    </xf>
    <xf numFmtId="0" fontId="19" fillId="5" borderId="10" xfId="0" applyFont="1" applyFill="1" applyBorder="1" applyAlignment="1" applyProtection="1">
      <alignment horizontal="center" vertical="center"/>
    </xf>
    <xf numFmtId="0" fontId="19" fillId="6" borderId="10" xfId="0" applyFont="1" applyFill="1" applyBorder="1" applyAlignment="1" applyProtection="1">
      <alignment horizontal="center" vertical="center"/>
    </xf>
    <xf numFmtId="2" fontId="2" fillId="4" borderId="0" xfId="0" applyNumberFormat="1" applyFont="1" applyFill="1" applyBorder="1" applyAlignment="1" applyProtection="1">
      <alignment horizontal="center" vertical="center" wrapText="1"/>
    </xf>
    <xf numFmtId="0" fontId="14" fillId="4" borderId="0" xfId="0" applyFont="1" applyFill="1" applyAlignment="1" applyProtection="1">
      <alignment horizontal="right" vertical="center"/>
    </xf>
    <xf numFmtId="0" fontId="20" fillId="9" borderId="0" xfId="0" applyFont="1" applyFill="1" applyAlignment="1" applyProtection="1">
      <alignment horizontal="right" vertical="center" indent="1"/>
    </xf>
    <xf numFmtId="0" fontId="20" fillId="2" borderId="0" xfId="0" applyFont="1" applyFill="1" applyAlignment="1" applyProtection="1">
      <alignment horizontal="right" vertical="center"/>
      <protection locked="0"/>
    </xf>
    <xf numFmtId="9" fontId="20" fillId="2" borderId="0" xfId="0" applyNumberFormat="1" applyFont="1" applyFill="1" applyAlignment="1" applyProtection="1">
      <alignment horizontal="right" vertical="center"/>
      <protection locked="0"/>
    </xf>
    <xf numFmtId="0" fontId="6" fillId="7" borderId="15" xfId="2" applyFont="1" applyFill="1" applyBorder="1" applyAlignment="1" applyProtection="1">
      <alignment horizontal="left" vertical="center"/>
    </xf>
    <xf numFmtId="0" fontId="27" fillId="2" borderId="0" xfId="8" applyFill="1" applyAlignment="1" applyProtection="1">
      <alignment vertical="center"/>
      <protection locked="0"/>
    </xf>
    <xf numFmtId="0" fontId="0" fillId="0" borderId="0" xfId="0" applyFont="1" applyAlignment="1">
      <alignment vertical="center"/>
    </xf>
    <xf numFmtId="0" fontId="0" fillId="0" borderId="0" xfId="0" applyFont="1" applyAlignment="1" applyProtection="1">
      <alignment vertical="center"/>
      <protection locked="0"/>
    </xf>
    <xf numFmtId="0" fontId="29" fillId="11" borderId="20" xfId="0" applyFont="1" applyFill="1" applyBorder="1" applyAlignment="1">
      <alignment vertical="center"/>
    </xf>
    <xf numFmtId="0" fontId="29" fillId="11" borderId="21" xfId="0" applyFont="1" applyFill="1" applyBorder="1" applyAlignment="1">
      <alignment vertical="center"/>
    </xf>
    <xf numFmtId="0" fontId="29" fillId="11" borderId="22" xfId="0" applyFont="1" applyFill="1" applyBorder="1" applyAlignment="1">
      <alignment vertical="center"/>
    </xf>
    <xf numFmtId="0" fontId="16" fillId="0" borderId="0" xfId="0" applyFont="1" applyFill="1" applyBorder="1" applyAlignment="1" applyProtection="1">
      <alignment vertical="center"/>
      <protection locked="0"/>
    </xf>
    <xf numFmtId="164" fontId="16" fillId="0" borderId="0" xfId="0" applyNumberFormat="1" applyFont="1" applyFill="1" applyBorder="1" applyAlignment="1" applyProtection="1">
      <alignment horizontal="center" vertical="center"/>
    </xf>
    <xf numFmtId="164" fontId="17" fillId="0" borderId="0" xfId="0" applyNumberFormat="1" applyFont="1" applyFill="1" applyBorder="1" applyAlignment="1" applyProtection="1">
      <alignment horizontal="center" vertical="center"/>
    </xf>
    <xf numFmtId="0" fontId="30" fillId="0" borderId="10" xfId="0" applyFont="1" applyBorder="1" applyAlignment="1">
      <alignment vertical="center"/>
    </xf>
    <xf numFmtId="0" fontId="30" fillId="10" borderId="10" xfId="0" applyNumberFormat="1" applyFont="1" applyFill="1" applyBorder="1" applyAlignment="1">
      <alignment horizontal="center" vertical="center"/>
    </xf>
    <xf numFmtId="0" fontId="30" fillId="0" borderId="10" xfId="0" applyFont="1" applyBorder="1" applyAlignment="1">
      <alignment vertical="center" wrapText="1"/>
    </xf>
    <xf numFmtId="0" fontId="1" fillId="10" borderId="10" xfId="0" applyNumberFormat="1" applyFont="1" applyFill="1" applyBorder="1" applyAlignment="1">
      <alignment vertical="center"/>
    </xf>
    <xf numFmtId="0" fontId="28" fillId="0" borderId="10" xfId="0" applyFont="1" applyBorder="1" applyAlignment="1">
      <alignment vertical="center"/>
    </xf>
    <xf numFmtId="0" fontId="28" fillId="10" borderId="10" xfId="0" applyFont="1" applyFill="1" applyBorder="1" applyAlignment="1" applyProtection="1">
      <alignment vertical="center"/>
      <protection locked="0"/>
    </xf>
    <xf numFmtId="0" fontId="0" fillId="0" borderId="10" xfId="0" applyFont="1" applyBorder="1" applyAlignment="1">
      <alignment vertical="center"/>
    </xf>
    <xf numFmtId="164" fontId="0" fillId="14" borderId="10" xfId="0" applyNumberFormat="1" applyFont="1" applyFill="1" applyBorder="1" applyAlignment="1" applyProtection="1">
      <alignment horizontal="center" vertical="center"/>
      <protection locked="0"/>
    </xf>
    <xf numFmtId="164" fontId="0" fillId="13" borderId="10" xfId="0" applyNumberFormat="1" applyFont="1" applyFill="1" applyBorder="1" applyAlignment="1" applyProtection="1">
      <alignment horizontal="center" vertical="center"/>
      <protection locked="0"/>
    </xf>
    <xf numFmtId="1" fontId="0" fillId="0" borderId="10" xfId="0" applyNumberFormat="1" applyFont="1" applyFill="1" applyBorder="1" applyAlignment="1" applyProtection="1">
      <alignment horizontal="center" vertical="center"/>
      <protection locked="0"/>
    </xf>
    <xf numFmtId="0" fontId="0" fillId="12" borderId="10" xfId="0" applyFont="1" applyFill="1" applyBorder="1" applyAlignment="1" applyProtection="1">
      <alignment horizontal="left" vertical="center" wrapText="1"/>
    </xf>
    <xf numFmtId="0" fontId="14" fillId="2" borderId="0" xfId="0" applyFont="1" applyFill="1" applyAlignment="1" applyProtection="1">
      <alignment vertical="center"/>
      <protection locked="0"/>
    </xf>
    <xf numFmtId="165" fontId="32" fillId="15" borderId="10" xfId="0" applyNumberFormat="1" applyFont="1" applyFill="1" applyBorder="1" applyAlignment="1" applyProtection="1">
      <alignment vertical="center" wrapText="1"/>
    </xf>
    <xf numFmtId="166" fontId="32" fillId="15" borderId="10" xfId="0" applyNumberFormat="1" applyFont="1" applyFill="1" applyBorder="1" applyAlignment="1" applyProtection="1">
      <alignment vertical="center" wrapText="1"/>
    </xf>
    <xf numFmtId="167" fontId="31" fillId="1" borderId="23" xfId="0" applyNumberFormat="1" applyFont="1" applyFill="1" applyBorder="1" applyAlignment="1" applyProtection="1">
      <alignment vertical="center" wrapText="1"/>
    </xf>
    <xf numFmtId="168" fontId="31" fillId="1" borderId="23" xfId="0" applyNumberFormat="1" applyFont="1" applyFill="1" applyBorder="1" applyAlignment="1" applyProtection="1">
      <alignment vertical="center" wrapText="1"/>
    </xf>
    <xf numFmtId="0" fontId="22" fillId="0" borderId="12" xfId="2" applyFill="1" applyBorder="1" applyAlignment="1" applyProtection="1">
      <alignment horizontal="center" vertical="center" wrapText="1"/>
      <protection locked="0"/>
    </xf>
    <xf numFmtId="0" fontId="5" fillId="0" borderId="13" xfId="2" applyFont="1" applyBorder="1" applyAlignment="1" applyProtection="1">
      <alignment vertical="center" wrapText="1"/>
      <protection locked="0"/>
    </xf>
    <xf numFmtId="0" fontId="7" fillId="0" borderId="13" xfId="2" applyFont="1" applyBorder="1" applyAlignment="1" applyProtection="1">
      <alignment vertical="center" wrapText="1"/>
      <protection locked="0"/>
    </xf>
    <xf numFmtId="0" fontId="7" fillId="0" borderId="13" xfId="2" applyFont="1" applyBorder="1" applyAlignment="1" applyProtection="1">
      <alignment horizontal="center" vertical="center" wrapText="1"/>
      <protection locked="0"/>
    </xf>
    <xf numFmtId="0" fontId="7" fillId="0" borderId="14" xfId="2" applyFont="1" applyBorder="1" applyAlignment="1" applyProtection="1">
      <alignment vertical="center" wrapText="1"/>
      <protection locked="0"/>
    </xf>
    <xf numFmtId="0" fontId="0" fillId="0" borderId="23" xfId="0" applyFont="1" applyBorder="1" applyAlignment="1" applyProtection="1">
      <alignment vertical="center" wrapText="1"/>
    </xf>
    <xf numFmtId="0" fontId="0" fillId="0" borderId="10" xfId="0" applyFont="1" applyBorder="1" applyAlignment="1" applyProtection="1">
      <alignment vertical="center" wrapText="1"/>
    </xf>
    <xf numFmtId="0" fontId="31" fillId="0" borderId="0" xfId="0" applyFont="1"/>
    <xf numFmtId="0" fontId="33" fillId="16" borderId="0" xfId="0" applyFont="1" applyFill="1"/>
    <xf numFmtId="0" fontId="0" fillId="12" borderId="0" xfId="0" applyFill="1"/>
    <xf numFmtId="0" fontId="0" fillId="17" borderId="10" xfId="0" applyFont="1" applyFill="1" applyBorder="1" applyAlignment="1" applyProtection="1">
      <alignment horizontal="left" vertical="center" wrapText="1"/>
    </xf>
    <xf numFmtId="0" fontId="0" fillId="17" borderId="0" xfId="0" applyFill="1"/>
    <xf numFmtId="0" fontId="0" fillId="13" borderId="0" xfId="0" applyFill="1"/>
    <xf numFmtId="0" fontId="31" fillId="0" borderId="24" xfId="0" applyFont="1" applyBorder="1" applyAlignment="1" applyProtection="1">
      <alignment vertical="center" wrapText="1"/>
      <protection locked="0"/>
    </xf>
    <xf numFmtId="0" fontId="0" fillId="0" borderId="26" xfId="0" applyFont="1" applyBorder="1" applyAlignment="1" applyProtection="1">
      <alignment vertical="center" wrapText="1"/>
    </xf>
    <xf numFmtId="0" fontId="31" fillId="0" borderId="26" xfId="0" applyFont="1" applyBorder="1" applyAlignment="1" applyProtection="1">
      <alignment vertical="center" wrapText="1"/>
    </xf>
    <xf numFmtId="0" fontId="33" fillId="16" borderId="26" xfId="0" applyFont="1" applyFill="1" applyBorder="1" applyAlignment="1" applyProtection="1">
      <alignment vertical="center" wrapText="1"/>
    </xf>
    <xf numFmtId="0" fontId="0" fillId="12" borderId="26" xfId="0" applyFont="1" applyFill="1" applyBorder="1" applyAlignment="1" applyProtection="1">
      <alignment horizontal="right" vertical="center" wrapText="1"/>
    </xf>
    <xf numFmtId="0" fontId="0" fillId="17" borderId="26" xfId="0" applyFont="1" applyFill="1" applyBorder="1" applyAlignment="1" applyProtection="1">
      <alignment horizontal="right" vertical="center" wrapText="1"/>
    </xf>
    <xf numFmtId="0" fontId="0" fillId="13" borderId="26" xfId="0" applyFont="1" applyFill="1" applyBorder="1" applyAlignment="1" applyProtection="1">
      <alignment vertical="center" wrapText="1"/>
    </xf>
    <xf numFmtId="0" fontId="31" fillId="0" borderId="10" xfId="0" applyFont="1" applyBorder="1" applyAlignment="1" applyProtection="1">
      <alignment vertical="center" wrapText="1"/>
    </xf>
    <xf numFmtId="0" fontId="33" fillId="16" borderId="10" xfId="0" applyFont="1" applyFill="1" applyBorder="1" applyAlignment="1" applyProtection="1">
      <alignment vertical="center" wrapText="1"/>
    </xf>
    <xf numFmtId="0" fontId="0" fillId="12" borderId="10" xfId="0" applyFont="1" applyFill="1" applyBorder="1" applyAlignment="1" applyProtection="1">
      <alignment vertical="center" wrapText="1"/>
    </xf>
    <xf numFmtId="0" fontId="0" fillId="17" borderId="10" xfId="0" applyFont="1" applyFill="1" applyBorder="1" applyAlignment="1" applyProtection="1">
      <alignment vertical="center" wrapText="1"/>
    </xf>
    <xf numFmtId="0" fontId="0" fillId="13" borderId="10" xfId="0" applyFont="1" applyFill="1" applyBorder="1" applyAlignment="1" applyProtection="1">
      <alignment vertical="center" wrapText="1"/>
    </xf>
    <xf numFmtId="0" fontId="0" fillId="13" borderId="10" xfId="0" applyFont="1" applyFill="1" applyBorder="1" applyAlignment="1" applyProtection="1">
      <alignment horizontal="right" vertical="center" wrapText="1"/>
    </xf>
    <xf numFmtId="0" fontId="30" fillId="12" borderId="10" xfId="0" applyNumberFormat="1" applyFont="1" applyFill="1" applyBorder="1" applyAlignment="1" applyProtection="1">
      <alignment horizontal="center" vertical="center" wrapText="1"/>
      <protection locked="0"/>
    </xf>
    <xf numFmtId="0" fontId="30" fillId="17" borderId="10" xfId="0" applyNumberFormat="1" applyFont="1" applyFill="1" applyBorder="1" applyAlignment="1" applyProtection="1">
      <alignment horizontal="center" vertical="center" wrapText="1"/>
      <protection locked="0"/>
    </xf>
    <xf numFmtId="164" fontId="0" fillId="13" borderId="10" xfId="0" applyNumberFormat="1" applyFont="1" applyFill="1" applyBorder="1" applyAlignment="1" applyProtection="1">
      <alignment vertical="center" wrapText="1"/>
    </xf>
    <xf numFmtId="0" fontId="0" fillId="12" borderId="10" xfId="0" applyFont="1" applyFill="1" applyBorder="1" applyAlignment="1" applyProtection="1">
      <alignment vertical="center" wrapText="1"/>
      <protection locked="0"/>
    </xf>
    <xf numFmtId="0" fontId="0" fillId="17" borderId="10" xfId="0" applyFont="1" applyFill="1" applyBorder="1" applyAlignment="1" applyProtection="1">
      <alignment vertical="center" wrapText="1"/>
      <protection locked="0"/>
    </xf>
    <xf numFmtId="0" fontId="0" fillId="0" borderId="25" xfId="0" applyFont="1" applyBorder="1" applyAlignment="1" applyProtection="1">
      <alignment vertical="center" wrapText="1"/>
    </xf>
    <xf numFmtId="0" fontId="0" fillId="0" borderId="27" xfId="0" applyFont="1" applyBorder="1" applyAlignment="1" applyProtection="1">
      <alignment vertical="center" wrapText="1"/>
    </xf>
    <xf numFmtId="0" fontId="31" fillId="0" borderId="27" xfId="0" applyFont="1" applyBorder="1" applyAlignment="1" applyProtection="1">
      <alignment vertical="center" wrapText="1"/>
    </xf>
    <xf numFmtId="0" fontId="33" fillId="16" borderId="27" xfId="0" applyFont="1" applyFill="1" applyBorder="1" applyAlignment="1" applyProtection="1">
      <alignment vertical="center" wrapText="1"/>
    </xf>
    <xf numFmtId="0" fontId="0" fillId="12" borderId="27" xfId="0" applyFont="1" applyFill="1" applyBorder="1" applyAlignment="1" applyProtection="1">
      <alignment vertical="center" wrapText="1"/>
    </xf>
    <xf numFmtId="0" fontId="0" fillId="17" borderId="27" xfId="0" applyFont="1" applyFill="1" applyBorder="1" applyAlignment="1" applyProtection="1">
      <alignment vertical="center" wrapText="1"/>
    </xf>
    <xf numFmtId="0" fontId="0" fillId="13" borderId="27" xfId="0" applyFont="1" applyFill="1" applyBorder="1" applyAlignment="1" applyProtection="1">
      <alignment vertical="center" wrapText="1"/>
    </xf>
    <xf numFmtId="0" fontId="0" fillId="0" borderId="23" xfId="0" applyFont="1" applyBorder="1" applyAlignment="1" applyProtection="1">
      <alignment horizontal="center" vertical="center" wrapText="1"/>
    </xf>
    <xf numFmtId="0" fontId="0" fillId="0" borderId="10" xfId="0" applyFont="1" applyBorder="1" applyAlignment="1" applyProtection="1">
      <alignment horizontal="center" vertical="center" wrapText="1"/>
    </xf>
    <xf numFmtId="0" fontId="31" fillId="0" borderId="10" xfId="0" applyFont="1" applyBorder="1" applyAlignment="1" applyProtection="1">
      <alignment horizontal="center" vertical="center" wrapText="1"/>
    </xf>
    <xf numFmtId="0" fontId="33" fillId="16" borderId="10" xfId="0" applyFont="1" applyFill="1" applyBorder="1" applyAlignment="1" applyProtection="1">
      <alignment horizontal="center" vertical="center" wrapText="1"/>
    </xf>
    <xf numFmtId="0" fontId="0" fillId="12" borderId="10" xfId="0" applyFont="1" applyFill="1" applyBorder="1" applyAlignment="1" applyProtection="1">
      <alignment horizontal="center" vertical="center" wrapText="1"/>
    </xf>
    <xf numFmtId="0" fontId="0" fillId="17" borderId="10" xfId="0" applyFont="1" applyFill="1" applyBorder="1" applyAlignment="1" applyProtection="1">
      <alignment horizontal="center" vertical="center" wrapText="1"/>
    </xf>
    <xf numFmtId="0" fontId="0" fillId="13" borderId="10" xfId="0" applyFont="1" applyFill="1" applyBorder="1" applyAlignment="1" applyProtection="1">
      <alignment horizontal="center" vertical="center" wrapText="1"/>
    </xf>
    <xf numFmtId="0" fontId="34" fillId="0" borderId="0" xfId="0" applyFont="1"/>
  </cellXfs>
  <cellStyles count="9"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Normal" xfId="0" builtinId="0" customBuiltin="1"/>
    <cellStyle name="Normal 2" xfId="1"/>
    <cellStyle name="Normal 3" xfId="2"/>
    <cellStyle name="Title" xfId="8" builtinId="15"/>
    <cellStyle name="Total" xfId="7" builtinId="25" customBuiltin="1"/>
  </cellStyles>
  <dxfs count="153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b/>
        <i val="0"/>
        <color rgb="FFFF0000"/>
      </font>
    </dxf>
    <dxf>
      <font>
        <color rgb="FFFF0000"/>
      </font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  <border>
        <vertical/>
        <horizontal/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</dxfs>
  <tableStyles count="0" defaultTableStyle="TableStyleMedium9" defaultPivotStyle="PivotStyleLight16"/>
  <colors>
    <mruColors>
      <color rgb="FF8DEBB1"/>
      <color rgb="FFDBE5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0</xdr:row>
      <xdr:rowOff>266700</xdr:rowOff>
    </xdr:from>
    <xdr:to>
      <xdr:col>5</xdr:col>
      <xdr:colOff>104775</xdr:colOff>
      <xdr:row>12</xdr:row>
      <xdr:rowOff>133350</xdr:rowOff>
    </xdr:to>
    <xdr:sp macro="" textlink="">
      <xdr:nvSpPr>
        <xdr:cNvPr id="3" name="Rectangle 2"/>
        <xdr:cNvSpPr/>
      </xdr:nvSpPr>
      <xdr:spPr>
        <a:xfrm>
          <a:off x="8715375" y="266700"/>
          <a:ext cx="3000375" cy="21240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fr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1</xdr:row>
          <xdr:rowOff>19050</xdr:rowOff>
        </xdr:from>
        <xdr:to>
          <xdr:col>4</xdr:col>
          <xdr:colOff>2781300</xdr:colOff>
          <xdr:row>3</xdr:row>
          <xdr:rowOff>114300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Afficher/Masquer Objectifs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3</xdr:row>
          <xdr:rowOff>142875</xdr:rowOff>
        </xdr:from>
        <xdr:to>
          <xdr:col>4</xdr:col>
          <xdr:colOff>2781300</xdr:colOff>
          <xdr:row>6</xdr:row>
          <xdr:rowOff>57150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Afficher/Masquer Eleves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177165</xdr:colOff>
      <xdr:row>13</xdr:row>
      <xdr:rowOff>131445</xdr:rowOff>
    </xdr:from>
    <xdr:to>
      <xdr:col>5</xdr:col>
      <xdr:colOff>100965</xdr:colOff>
      <xdr:row>34</xdr:row>
      <xdr:rowOff>0</xdr:rowOff>
    </xdr:to>
    <xdr:grpSp>
      <xdr:nvGrpSpPr>
        <xdr:cNvPr id="4" name="Groupe 3"/>
        <xdr:cNvGrpSpPr/>
      </xdr:nvGrpSpPr>
      <xdr:grpSpPr>
        <a:xfrm>
          <a:off x="8749665" y="2560320"/>
          <a:ext cx="2962275" cy="3669030"/>
          <a:chOff x="8740140" y="2265045"/>
          <a:chExt cx="2962275" cy="3663315"/>
        </a:xfrm>
      </xdr:grpSpPr>
      <xdr:sp macro="" textlink="">
        <xdr:nvSpPr>
          <xdr:cNvPr id="2" name="Rectangle 1"/>
          <xdr:cNvSpPr/>
        </xdr:nvSpPr>
        <xdr:spPr>
          <a:xfrm>
            <a:off x="8740140" y="2265045"/>
            <a:ext cx="2962275" cy="3663315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fr-C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0" name="Button 6" hidden="1">
                <a:extLst>
                  <a:ext uri="{63B3BB69-23CF-44E3-9099-C40C66FF867C}">
                    <a14:compatExt spid="_x0000_s6150"/>
                  </a:ext>
                </a:extLst>
              </xdr:cNvPr>
              <xdr:cNvSpPr/>
            </xdr:nvSpPr>
            <xdr:spPr bwMode="auto">
              <a:xfrm>
                <a:off x="8991600" y="3086100"/>
                <a:ext cx="2371725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CH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2. Générer grille master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4" name="Button 10" hidden="1">
                <a:extLst>
                  <a:ext uri="{63B3BB69-23CF-44E3-9099-C40C66FF867C}">
                    <a14:compatExt spid="_x0000_s6154"/>
                  </a:ext>
                </a:extLst>
              </xdr:cNvPr>
              <xdr:cNvSpPr/>
            </xdr:nvSpPr>
            <xdr:spPr bwMode="auto">
              <a:xfrm>
                <a:off x="9029700" y="4505325"/>
                <a:ext cx="237172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CH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4. Générer synthèse détaillée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5" name="Button 11" hidden="1">
                <a:extLst>
                  <a:ext uri="{63B3BB69-23CF-44E3-9099-C40C66FF867C}">
                    <a14:compatExt spid="_x0000_s6155"/>
                  </a:ext>
                </a:extLst>
              </xdr:cNvPr>
              <xdr:cNvSpPr/>
            </xdr:nvSpPr>
            <xdr:spPr bwMode="auto">
              <a:xfrm>
                <a:off x="8982075" y="2400300"/>
                <a:ext cx="2381250" cy="4667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CH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1. Nouvel objectif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</a:extLst>
              </xdr:cNvPr>
              <xdr:cNvSpPr/>
            </xdr:nvSpPr>
            <xdr:spPr bwMode="auto">
              <a:xfrm>
                <a:off x="9020175" y="5248275"/>
                <a:ext cx="23812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CH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5. Exporter les élèves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6</xdr:row>
          <xdr:rowOff>76200</xdr:rowOff>
        </xdr:from>
        <xdr:to>
          <xdr:col>4</xdr:col>
          <xdr:colOff>2781300</xdr:colOff>
          <xdr:row>9</xdr:row>
          <xdr:rowOff>38100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Verrouller/Déverrouiller les onglets élèves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9</xdr:row>
          <xdr:rowOff>76200</xdr:rowOff>
        </xdr:from>
        <xdr:to>
          <xdr:col>4</xdr:col>
          <xdr:colOff>2790825</xdr:colOff>
          <xdr:row>12</xdr:row>
          <xdr:rowOff>38100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Recopier les objectifs depuis le 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21</xdr:row>
          <xdr:rowOff>152400</xdr:rowOff>
        </xdr:from>
        <xdr:to>
          <xdr:col>4</xdr:col>
          <xdr:colOff>2828925</xdr:colOff>
          <xdr:row>24</xdr:row>
          <xdr:rowOff>104775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Générer onglets élèves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.xml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15"/>
  <sheetViews>
    <sheetView zoomScaleNormal="100" zoomScaleSheetLayoutView="110" workbookViewId="0">
      <selection activeCell="B2" sqref="B2"/>
    </sheetView>
  </sheetViews>
  <sheetFormatPr defaultColWidth="11.125" defaultRowHeight="16.5"/>
  <cols>
    <col min="1" max="1" width="26.625" style="63" customWidth="1"/>
    <col min="2" max="2" width="32.75" style="63" bestFit="1" customWidth="1"/>
    <col min="3" max="3" width="150.625" style="63" customWidth="1"/>
    <col min="4" max="16384" width="11.125" style="63"/>
  </cols>
  <sheetData>
    <row r="1" spans="1:3">
      <c r="A1" s="65" t="s">
        <v>33</v>
      </c>
      <c r="B1" s="66" t="s">
        <v>11</v>
      </c>
      <c r="C1" s="67" t="s">
        <v>34</v>
      </c>
    </row>
    <row r="2" spans="1:3">
      <c r="A2" s="71" t="s">
        <v>32</v>
      </c>
      <c r="B2" s="72"/>
      <c r="C2" s="73" t="s">
        <v>15</v>
      </c>
    </row>
    <row r="3" spans="1:3">
      <c r="A3" s="71" t="s">
        <v>27</v>
      </c>
      <c r="B3" s="74">
        <f>Intro!B4*6</f>
        <v>0</v>
      </c>
      <c r="C3" s="73" t="s">
        <v>13</v>
      </c>
    </row>
    <row r="4" spans="1:3">
      <c r="A4" s="75" t="s">
        <v>26</v>
      </c>
      <c r="B4" s="76"/>
      <c r="C4" s="75" t="s">
        <v>14</v>
      </c>
    </row>
    <row r="5" spans="1:3">
      <c r="A5" s="77" t="s">
        <v>23</v>
      </c>
      <c r="B5" s="81"/>
      <c r="C5" s="77" t="s">
        <v>18</v>
      </c>
    </row>
    <row r="6" spans="1:3">
      <c r="A6" s="77" t="s">
        <v>24</v>
      </c>
      <c r="B6" s="80"/>
      <c r="C6" s="77" t="s">
        <v>28</v>
      </c>
    </row>
    <row r="7" spans="1:3">
      <c r="A7" s="77" t="s">
        <v>25</v>
      </c>
      <c r="B7" s="79"/>
      <c r="C7" s="77" t="s">
        <v>29</v>
      </c>
    </row>
    <row r="8" spans="1:3">
      <c r="A8" s="77" t="s">
        <v>31</v>
      </c>
      <c r="B8" s="78"/>
      <c r="C8" s="77" t="s">
        <v>30</v>
      </c>
    </row>
    <row r="9" spans="1:3">
      <c r="A9" s="63" t="s">
        <v>35</v>
      </c>
      <c r="B9" s="85"/>
      <c r="C9" s="63" t="s">
        <v>38</v>
      </c>
    </row>
    <row r="10" spans="1:3">
      <c r="A10" s="63" t="s">
        <v>36</v>
      </c>
      <c r="B10" s="86"/>
      <c r="C10" s="63" t="s">
        <v>37</v>
      </c>
    </row>
    <row r="11" spans="1:3" ht="20.25">
      <c r="A11" s="63" t="s">
        <v>41</v>
      </c>
      <c r="B11" s="83"/>
      <c r="C11" s="63" t="s">
        <v>39</v>
      </c>
    </row>
    <row r="12" spans="1:3" ht="20.25">
      <c r="A12" s="63" t="s">
        <v>42</v>
      </c>
      <c r="B12" s="84"/>
      <c r="C12" s="63" t="s">
        <v>40</v>
      </c>
    </row>
    <row r="13" spans="1:3">
      <c r="B13" s="64"/>
    </row>
    <row r="14" spans="1:3">
      <c r="B14" s="64"/>
    </row>
    <row r="15" spans="1:3">
      <c r="B15" s="64"/>
    </row>
  </sheetData>
  <conditionalFormatting sqref="B2">
    <cfRule type="containsBlanks" dxfId="152" priority="1">
      <formula>LEN(TRIM(B2))=0</formula>
    </cfRule>
    <cfRule type="iconSet" priority="22">
      <iconSet iconSet="4ArrowsGray">
        <cfvo type="percent" val="0"/>
        <cfvo type="num" val="1"/>
        <cfvo type="num" val="2"/>
        <cfvo type="num" val="3"/>
      </iconSet>
    </cfRule>
  </conditionalFormatting>
  <conditionalFormatting sqref="B5">
    <cfRule type="expression" priority="9" stopIfTrue="1">
      <formula>IF($D5="","VRAI","FAUX")</formula>
    </cfRule>
    <cfRule type="expression" dxfId="151" priority="10" stopIfTrue="1">
      <formula>IF($D5=3,"VRAI","FAUX")</formula>
    </cfRule>
    <cfRule type="expression" dxfId="150" priority="11" stopIfTrue="1">
      <formula>IF($D5=2,"VRAI","FAUX")</formula>
    </cfRule>
    <cfRule type="expression" dxfId="149" priority="12" stopIfTrue="1">
      <formula>IF($D5=1,"VRAI","FAUX")</formula>
    </cfRule>
    <cfRule type="expression" dxfId="148" priority="13" stopIfTrue="1">
      <formula>IF($D5=0,"VRAI","FAUX")</formula>
    </cfRule>
  </conditionalFormatting>
  <conditionalFormatting sqref="B6">
    <cfRule type="containsBlanks" dxfId="147" priority="2">
      <formula>LEN(TRIM(B6))=0</formula>
    </cfRule>
    <cfRule type="cellIs" dxfId="146" priority="3" stopIfTrue="1" operator="between">
      <formula>0</formula>
      <formula>1</formula>
    </cfRule>
  </conditionalFormatting>
  <conditionalFormatting sqref="B8">
    <cfRule type="iconSet" priority="6">
      <iconSet iconSet="3Symbols">
        <cfvo type="percent" val="0"/>
        <cfvo type="num" val="4"/>
        <cfvo type="num" val="4.5"/>
      </iconSet>
    </cfRule>
  </conditionalFormatting>
  <conditionalFormatting sqref="B7">
    <cfRule type="cellIs" dxfId="145" priority="4" operator="lessThan">
      <formula>4</formula>
    </cfRule>
  </conditionalFormatting>
  <dataValidations count="3">
    <dataValidation type="list" allowBlank="1" showInputMessage="1" showErrorMessage="1" sqref="B2">
      <formula1>"0,1,2,3"</formula1>
    </dataValidation>
    <dataValidation showDropDown="1" showInputMessage="1" showErrorMessage="1" sqref="B3"/>
    <dataValidation type="list" allowBlank="1" showInputMessage="1" showErrorMessage="1" sqref="B4">
      <formula1>"Connait,Comprend,Applique,Analyse,Produit,Evalue"</formula1>
    </dataValidation>
  </dataValidations>
  <pageMargins left="0.7" right="0.7" top="0.75" bottom="0.75" header="0.3" footer="0.3"/>
  <pageSetup paperSize="9" scale="7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M39"/>
  <sheetViews>
    <sheetView zoomScaleNormal="100" workbookViewId="0">
      <selection activeCell="E29" sqref="E28:E29"/>
    </sheetView>
  </sheetViews>
  <sheetFormatPr defaultColWidth="11.375" defaultRowHeight="15"/>
  <cols>
    <col min="1" max="1" width="15" style="4" customWidth="1"/>
    <col min="2" max="2" width="26.625" style="5" customWidth="1"/>
    <col min="3" max="3" width="26.625" style="7" customWidth="1"/>
    <col min="4" max="4" width="26.625" style="3" customWidth="1"/>
    <col min="5" max="5" width="5.625" style="3" customWidth="1"/>
    <col min="6" max="6" width="26.625" style="6" customWidth="1"/>
    <col min="7" max="7" width="26.625" style="1" customWidth="1"/>
    <col min="8" max="8" width="25.625" style="1" customWidth="1"/>
    <col min="9" max="9" width="26.625" style="1" customWidth="1"/>
    <col min="10" max="10" width="25.625" style="1" customWidth="1"/>
    <col min="11" max="11" width="10.5" style="1" customWidth="1"/>
    <col min="12" max="16384" width="11.375" style="1"/>
  </cols>
  <sheetData>
    <row r="1" spans="1:13" ht="42" customHeight="1">
      <c r="A1" s="45" t="s">
        <v>3</v>
      </c>
      <c r="B1" s="21" t="s">
        <v>9</v>
      </c>
      <c r="C1" s="21" t="s">
        <v>12</v>
      </c>
      <c r="D1" s="47" t="s">
        <v>10</v>
      </c>
      <c r="E1" s="46">
        <v>1</v>
      </c>
      <c r="F1" s="22"/>
      <c r="G1" s="23"/>
      <c r="H1" s="23"/>
      <c r="I1" s="24"/>
    </row>
    <row r="2" spans="1:13" ht="17.25" thickBot="1">
      <c r="A2" s="61"/>
      <c r="B2" s="25"/>
      <c r="C2" s="25"/>
      <c r="D2" s="26"/>
      <c r="E2" s="48"/>
      <c r="F2" s="27"/>
      <c r="G2" s="28"/>
      <c r="H2" s="28"/>
      <c r="I2" s="29"/>
    </row>
    <row r="3" spans="1:13" ht="28.5">
      <c r="A3" s="30" t="s">
        <v>5</v>
      </c>
      <c r="B3" s="31" t="s">
        <v>8</v>
      </c>
      <c r="C3" s="32" t="s">
        <v>6</v>
      </c>
      <c r="D3" s="32" t="s">
        <v>7</v>
      </c>
      <c r="E3" s="32" t="s">
        <v>4</v>
      </c>
      <c r="F3" s="33" t="s">
        <v>19</v>
      </c>
      <c r="G3" s="33" t="s">
        <v>20</v>
      </c>
      <c r="H3" s="33" t="s">
        <v>22</v>
      </c>
      <c r="I3" s="34" t="s">
        <v>21</v>
      </c>
      <c r="L3" s="2"/>
      <c r="M3" s="2"/>
    </row>
    <row r="4" spans="1:13">
      <c r="A4" s="35"/>
      <c r="B4" s="36"/>
      <c r="C4" s="36"/>
      <c r="D4" s="37"/>
      <c r="E4" s="38"/>
      <c r="F4" s="37"/>
      <c r="G4" s="37"/>
      <c r="H4" s="37"/>
      <c r="I4" s="39"/>
      <c r="L4" s="2"/>
      <c r="M4" s="2"/>
    </row>
    <row r="5" spans="1:13">
      <c r="A5" s="40"/>
      <c r="B5" s="41"/>
      <c r="C5" s="41"/>
      <c r="D5" s="42"/>
      <c r="E5" s="43"/>
      <c r="F5" s="42"/>
      <c r="G5" s="42"/>
      <c r="H5" s="42"/>
      <c r="I5" s="44"/>
      <c r="L5" s="2"/>
      <c r="M5" s="2"/>
    </row>
    <row r="6" spans="1:13">
      <c r="A6" s="35"/>
      <c r="B6" s="36"/>
      <c r="C6" s="36"/>
      <c r="D6" s="37"/>
      <c r="E6" s="38"/>
      <c r="F6" s="37"/>
      <c r="G6" s="37"/>
      <c r="H6" s="37"/>
      <c r="I6" s="39"/>
      <c r="L6" s="2"/>
      <c r="M6" s="2"/>
    </row>
    <row r="7" spans="1:13">
      <c r="A7" s="40"/>
      <c r="B7" s="41"/>
      <c r="C7" s="41"/>
      <c r="D7" s="42"/>
      <c r="E7" s="43"/>
      <c r="F7" s="42"/>
      <c r="G7" s="42"/>
      <c r="H7" s="42"/>
      <c r="I7" s="44"/>
      <c r="L7" s="2"/>
      <c r="M7" s="2"/>
    </row>
    <row r="8" spans="1:13">
      <c r="A8" s="35"/>
      <c r="B8" s="36"/>
      <c r="C8" s="36"/>
      <c r="D8" s="37"/>
      <c r="E8" s="38"/>
      <c r="F8" s="37"/>
      <c r="G8" s="37"/>
      <c r="H8" s="37"/>
      <c r="I8" s="39"/>
      <c r="L8" s="2"/>
      <c r="M8" s="2"/>
    </row>
    <row r="9" spans="1:13">
      <c r="A9" s="40"/>
      <c r="B9" s="41"/>
      <c r="C9" s="41"/>
      <c r="D9" s="42"/>
      <c r="E9" s="43"/>
      <c r="F9" s="42"/>
      <c r="G9" s="42"/>
      <c r="H9" s="42"/>
      <c r="I9" s="44"/>
    </row>
    <row r="10" spans="1:13">
      <c r="A10" s="35"/>
      <c r="B10" s="36"/>
      <c r="C10" s="36"/>
      <c r="D10" s="37"/>
      <c r="E10" s="38"/>
      <c r="F10" s="37"/>
      <c r="G10" s="37"/>
      <c r="H10" s="37"/>
      <c r="I10" s="39"/>
    </row>
    <row r="11" spans="1:13">
      <c r="A11" s="40"/>
      <c r="B11" s="41"/>
      <c r="C11" s="41"/>
      <c r="D11" s="42"/>
      <c r="E11" s="43"/>
      <c r="F11" s="42"/>
      <c r="G11" s="42"/>
      <c r="H11" s="42"/>
      <c r="I11" s="44"/>
    </row>
    <row r="12" spans="1:13">
      <c r="A12" s="35"/>
      <c r="B12" s="36"/>
      <c r="C12" s="36"/>
      <c r="D12" s="37"/>
      <c r="E12" s="38"/>
      <c r="F12" s="37"/>
      <c r="G12" s="37"/>
      <c r="H12" s="37"/>
      <c r="I12" s="39"/>
    </row>
    <row r="13" spans="1:13">
      <c r="A13" s="40"/>
      <c r="B13" s="41"/>
      <c r="C13" s="41"/>
      <c r="D13" s="42"/>
      <c r="E13" s="43"/>
      <c r="F13" s="42"/>
      <c r="G13" s="42"/>
      <c r="H13" s="42"/>
      <c r="I13" s="44"/>
    </row>
    <row r="14" spans="1:13">
      <c r="A14" s="35"/>
      <c r="B14" s="36"/>
      <c r="C14" s="36"/>
      <c r="D14" s="37"/>
      <c r="E14" s="38"/>
      <c r="F14" s="37"/>
      <c r="G14" s="37"/>
      <c r="H14" s="37"/>
      <c r="I14" s="39"/>
    </row>
    <row r="15" spans="1:13">
      <c r="A15" s="40"/>
      <c r="B15" s="41"/>
      <c r="C15" s="41"/>
      <c r="D15" s="42"/>
      <c r="E15" s="43"/>
      <c r="F15" s="42"/>
      <c r="G15" s="42"/>
      <c r="H15" s="42"/>
      <c r="I15" s="44"/>
    </row>
    <row r="16" spans="1:13">
      <c r="A16" s="35"/>
      <c r="B16" s="36"/>
      <c r="C16" s="36"/>
      <c r="D16" s="37"/>
      <c r="E16" s="38"/>
      <c r="F16" s="37"/>
      <c r="G16" s="37"/>
      <c r="H16" s="37"/>
      <c r="I16" s="39"/>
    </row>
    <row r="17" spans="1:9">
      <c r="A17" s="40"/>
      <c r="B17" s="41"/>
      <c r="C17" s="41"/>
      <c r="D17" s="42"/>
      <c r="E17" s="43"/>
      <c r="F17" s="42"/>
      <c r="G17" s="42"/>
      <c r="H17" s="42"/>
      <c r="I17" s="44"/>
    </row>
    <row r="18" spans="1:9">
      <c r="A18" s="35"/>
      <c r="B18" s="36"/>
      <c r="C18" s="36"/>
      <c r="D18" s="37"/>
      <c r="E18" s="38"/>
      <c r="F18" s="37"/>
      <c r="G18" s="37"/>
      <c r="H18" s="37"/>
      <c r="I18" s="39"/>
    </row>
    <row r="19" spans="1:9">
      <c r="A19" s="40"/>
      <c r="B19" s="41"/>
      <c r="C19" s="41"/>
      <c r="D19" s="42"/>
      <c r="E19" s="43"/>
      <c r="F19" s="42"/>
      <c r="G19" s="42"/>
      <c r="H19" s="42"/>
      <c r="I19" s="44"/>
    </row>
    <row r="20" spans="1:9">
      <c r="A20" s="35"/>
      <c r="B20" s="36"/>
      <c r="C20" s="36"/>
      <c r="D20" s="37"/>
      <c r="E20" s="38"/>
      <c r="F20" s="37"/>
      <c r="G20" s="37"/>
      <c r="H20" s="37"/>
      <c r="I20" s="39"/>
    </row>
    <row r="21" spans="1:9">
      <c r="A21" s="40"/>
      <c r="B21" s="41"/>
      <c r="C21" s="41"/>
      <c r="D21" s="42"/>
      <c r="E21" s="43"/>
      <c r="F21" s="42"/>
      <c r="G21" s="42"/>
      <c r="H21" s="42"/>
      <c r="I21" s="44"/>
    </row>
    <row r="22" spans="1:9">
      <c r="A22" s="35"/>
      <c r="B22" s="36"/>
      <c r="C22" s="36"/>
      <c r="D22" s="37"/>
      <c r="E22" s="38"/>
      <c r="F22" s="37"/>
      <c r="G22" s="37"/>
      <c r="H22" s="37"/>
      <c r="I22" s="39"/>
    </row>
    <row r="23" spans="1:9" ht="15.75" thickBot="1">
      <c r="A23" s="87"/>
      <c r="B23" s="88"/>
      <c r="C23" s="88"/>
      <c r="D23" s="89"/>
      <c r="E23" s="90"/>
      <c r="F23" s="89"/>
      <c r="G23" s="89"/>
      <c r="H23" s="89"/>
      <c r="I23" s="91"/>
    </row>
    <row r="24" spans="1:9">
      <c r="A24" s="1"/>
      <c r="B24" s="1"/>
      <c r="C24" s="1"/>
      <c r="D24" s="1"/>
      <c r="F24" s="1"/>
    </row>
    <row r="25" spans="1:9">
      <c r="A25" s="1"/>
      <c r="B25" s="1"/>
      <c r="C25" s="1"/>
      <c r="D25" s="1"/>
      <c r="F25" s="1"/>
    </row>
    <row r="26" spans="1:9">
      <c r="A26" s="1"/>
      <c r="B26" s="1"/>
      <c r="C26" s="1"/>
      <c r="D26" s="1"/>
      <c r="F26" s="1"/>
    </row>
    <row r="27" spans="1:9">
      <c r="A27" s="1"/>
      <c r="B27" s="1"/>
      <c r="C27" s="1"/>
      <c r="D27" s="1"/>
      <c r="F27" s="1"/>
    </row>
    <row r="28" spans="1:9">
      <c r="C28" s="5"/>
      <c r="D28" s="5"/>
      <c r="F28" s="1"/>
    </row>
    <row r="29" spans="1:9">
      <c r="C29" s="5"/>
      <c r="D29" s="5"/>
      <c r="F29" s="1"/>
    </row>
    <row r="30" spans="1:9">
      <c r="C30" s="5"/>
      <c r="D30" s="5"/>
      <c r="F30" s="1"/>
    </row>
    <row r="31" spans="1:9">
      <c r="B31" s="7"/>
      <c r="D31" s="7"/>
      <c r="F31" s="1"/>
    </row>
    <row r="32" spans="1:9">
      <c r="B32" s="7"/>
      <c r="D32" s="7"/>
      <c r="F32" s="1"/>
    </row>
    <row r="33" spans="2:6">
      <c r="B33" s="7"/>
      <c r="D33" s="7"/>
      <c r="F33" s="1"/>
    </row>
    <row r="34" spans="2:6">
      <c r="C34" s="5"/>
      <c r="D34" s="5"/>
    </row>
    <row r="35" spans="2:6">
      <c r="C35" s="1"/>
    </row>
    <row r="36" spans="2:6">
      <c r="C36" s="1"/>
    </row>
    <row r="37" spans="2:6">
      <c r="C37" s="1"/>
    </row>
    <row r="38" spans="2:6">
      <c r="C38" s="1"/>
    </row>
    <row r="39" spans="2:6">
      <c r="C39" s="1"/>
    </row>
  </sheetData>
  <sheetProtection selectLockedCells="1"/>
  <dataConsolidate/>
  <dataValidations count="1">
    <dataValidation type="list" showInputMessage="1" showErrorMessage="1" sqref="E4:E23 E1">
      <formula1>"0,1,2,3,4,5,6,7,8,9"</formula1>
    </dataValidation>
  </dataValidations>
  <printOptions horizontalCentered="1" verticalCentered="1"/>
  <pageMargins left="0.59055118110236227" right="0.59055118110236227" top="0.98425196850393704" bottom="0.98425196850393704" header="0.51181102362204722" footer="0.51181102362204722"/>
  <pageSetup paperSize="9" scale="65" orientation="landscape" r:id="rId1"/>
  <headerFooter alignWithMargins="0">
    <oddHeader>&amp;L&amp;"ETML L,Normal"ETML&amp;R&amp;G</oddHeader>
    <oddFooter>&amp;L&amp;"Comic Sans MS,Normal"&amp;D&amp;C&amp;"Century Gothic,Normal"&amp;F - &amp;A&amp;R&amp;"Century Gothic,Normal"&amp;P/&amp;N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I55"/>
  <sheetViews>
    <sheetView tabSelected="1" zoomScaleNormal="100" zoomScaleSheetLayoutView="145" workbookViewId="0">
      <selection activeCell="A15" sqref="A15:D19"/>
    </sheetView>
  </sheetViews>
  <sheetFormatPr defaultColWidth="11.375" defaultRowHeight="14.25"/>
  <cols>
    <col min="1" max="1" width="30.625" style="17" customWidth="1"/>
    <col min="2" max="2" width="30.625" style="19" customWidth="1"/>
    <col min="3" max="3" width="25.625" style="18" customWidth="1"/>
    <col min="4" max="4" width="25.625" style="20" customWidth="1"/>
    <col min="5" max="5" width="39.875" style="12" customWidth="1"/>
    <col min="6" max="6" width="25.625" style="13" customWidth="1"/>
    <col min="7" max="16384" width="11.375" style="13"/>
  </cols>
  <sheetData>
    <row r="1" spans="1:9" s="12" customFormat="1" ht="22.5">
      <c r="A1" s="62" t="s">
        <v>91</v>
      </c>
      <c r="B1" s="8"/>
      <c r="C1" s="9"/>
      <c r="D1" s="10"/>
    </row>
    <row r="2" spans="1:9" s="12" customFormat="1" ht="13.5">
      <c r="A2" s="82" t="s">
        <v>94</v>
      </c>
      <c r="B2" s="8"/>
      <c r="C2" s="9"/>
      <c r="D2" s="11"/>
    </row>
    <row r="3" spans="1:9" ht="16.5">
      <c r="A3" s="58" t="s">
        <v>16</v>
      </c>
      <c r="B3" s="59"/>
      <c r="C3" s="14"/>
      <c r="D3" s="13"/>
      <c r="E3" s="13"/>
    </row>
    <row r="4" spans="1:9" ht="16.5">
      <c r="A4" s="58" t="s">
        <v>17</v>
      </c>
      <c r="B4" s="60">
        <v>0</v>
      </c>
      <c r="C4" s="14"/>
      <c r="D4" s="13"/>
      <c r="E4" s="13"/>
    </row>
    <row r="5" spans="1:9">
      <c r="C5" s="14"/>
      <c r="D5" s="13"/>
      <c r="E5" s="13"/>
    </row>
    <row r="6" spans="1:9" ht="13.5">
      <c r="A6" s="13"/>
      <c r="B6" s="13"/>
      <c r="C6" s="14"/>
      <c r="D6" s="13"/>
      <c r="E6" s="13"/>
    </row>
    <row r="7" spans="1:9" ht="13.5">
      <c r="A7" s="15"/>
      <c r="B7" s="13"/>
      <c r="C7" s="14"/>
      <c r="D7" s="13"/>
      <c r="E7" s="13"/>
    </row>
    <row r="8" spans="1:9" ht="13.5">
      <c r="A8" s="15"/>
      <c r="B8" s="13"/>
      <c r="C8" s="14"/>
      <c r="D8" s="13"/>
      <c r="E8" s="13"/>
    </row>
    <row r="9" spans="1:9" ht="13.5">
      <c r="A9" s="15"/>
      <c r="B9" s="13"/>
      <c r="C9" s="14"/>
      <c r="D9" s="13"/>
      <c r="E9" s="13"/>
    </row>
    <row r="10" spans="1:9" ht="13.5">
      <c r="A10" s="15"/>
      <c r="B10" s="13"/>
      <c r="C10" s="14"/>
      <c r="D10" s="13"/>
      <c r="E10" s="13"/>
    </row>
    <row r="11" spans="1:9" ht="13.5">
      <c r="A11" s="15"/>
      <c r="B11" s="13"/>
      <c r="C11" s="14"/>
      <c r="D11" s="13"/>
      <c r="E11" s="13"/>
    </row>
    <row r="12" spans="1:9" ht="13.5">
      <c r="A12" s="15"/>
      <c r="B12" s="13"/>
      <c r="C12" s="14"/>
      <c r="D12" s="13"/>
      <c r="E12" s="13"/>
    </row>
    <row r="13" spans="1:9" ht="13.5">
      <c r="A13" s="15"/>
      <c r="B13" s="57" t="s">
        <v>2</v>
      </c>
      <c r="C13" s="56" t="str">
        <f>IF(COUNT(C15:C55),AVERAGE(C$15:C$55),"")</f>
        <v/>
      </c>
      <c r="D13" s="56" t="str">
        <f>IF(COUNT(D15:D55),AVERAGE(D$15:D$55),"")</f>
        <v/>
      </c>
      <c r="E13" s="13"/>
    </row>
    <row r="14" spans="1:9" s="12" customFormat="1">
      <c r="A14" s="53" t="s">
        <v>54</v>
      </c>
      <c r="B14" s="53" t="s">
        <v>54</v>
      </c>
      <c r="C14" s="54" t="s">
        <v>1</v>
      </c>
      <c r="D14" s="55" t="s">
        <v>0</v>
      </c>
      <c r="I14" s="16"/>
    </row>
    <row r="15" spans="1:9" s="17" customFormat="1">
      <c r="A15" s="49"/>
      <c r="B15" s="49"/>
      <c r="C15" s="50"/>
      <c r="D15" s="51"/>
      <c r="I15" s="18"/>
    </row>
    <row r="16" spans="1:9" s="17" customFormat="1">
      <c r="A16" s="49"/>
      <c r="B16" s="49"/>
      <c r="C16" s="50"/>
      <c r="D16" s="51"/>
      <c r="I16" s="18"/>
    </row>
    <row r="17" spans="1:9" s="17" customFormat="1">
      <c r="A17" s="49"/>
      <c r="B17" s="49"/>
      <c r="C17" s="50"/>
      <c r="D17" s="51"/>
      <c r="I17" s="18"/>
    </row>
    <row r="18" spans="1:9" s="17" customFormat="1">
      <c r="A18" s="49"/>
      <c r="B18" s="49"/>
      <c r="C18" s="50"/>
      <c r="D18" s="51"/>
      <c r="I18" s="18"/>
    </row>
    <row r="19" spans="1:9" s="17" customFormat="1">
      <c r="A19" s="49"/>
      <c r="B19" s="49"/>
      <c r="C19" s="50"/>
      <c r="D19" s="51"/>
      <c r="I19" s="18"/>
    </row>
    <row r="20" spans="1:9" s="17" customFormat="1">
      <c r="A20" s="49"/>
      <c r="B20" s="49"/>
      <c r="C20" s="50"/>
      <c r="D20" s="51"/>
      <c r="I20" s="18"/>
    </row>
    <row r="21" spans="1:9" s="17" customFormat="1">
      <c r="A21" s="49"/>
      <c r="B21" s="49"/>
      <c r="C21" s="52"/>
      <c r="D21" s="51"/>
      <c r="I21" s="18"/>
    </row>
    <row r="22" spans="1:9" s="17" customFormat="1">
      <c r="A22" s="49"/>
      <c r="B22" s="49"/>
      <c r="C22" s="52"/>
      <c r="D22" s="51"/>
      <c r="I22" s="18"/>
    </row>
    <row r="23" spans="1:9" s="17" customFormat="1">
      <c r="A23" s="49"/>
      <c r="B23" s="49"/>
      <c r="C23" s="52"/>
      <c r="D23" s="51"/>
      <c r="I23" s="18"/>
    </row>
    <row r="24" spans="1:9" s="17" customFormat="1">
      <c r="A24" s="49"/>
      <c r="B24" s="49"/>
      <c r="C24" s="52"/>
      <c r="D24" s="51"/>
      <c r="I24" s="18"/>
    </row>
    <row r="25" spans="1:9" s="17" customFormat="1">
      <c r="A25" s="49"/>
      <c r="B25" s="49"/>
      <c r="C25" s="52"/>
      <c r="D25" s="51"/>
      <c r="I25" s="18"/>
    </row>
    <row r="26" spans="1:9" s="17" customFormat="1">
      <c r="A26" s="49"/>
      <c r="B26" s="49"/>
      <c r="C26" s="52"/>
      <c r="D26" s="51"/>
      <c r="I26" s="18"/>
    </row>
    <row r="27" spans="1:9" s="17" customFormat="1">
      <c r="A27" s="49"/>
      <c r="B27" s="49"/>
      <c r="C27" s="52"/>
      <c r="D27" s="51"/>
      <c r="I27" s="18"/>
    </row>
    <row r="28" spans="1:9" s="17" customFormat="1">
      <c r="A28" s="49"/>
      <c r="B28" s="49"/>
      <c r="C28" s="52"/>
      <c r="D28" s="51"/>
      <c r="I28" s="18"/>
    </row>
    <row r="29" spans="1:9" s="17" customFormat="1">
      <c r="A29" s="49"/>
      <c r="B29" s="49"/>
      <c r="C29" s="52"/>
      <c r="D29" s="51"/>
    </row>
    <row r="30" spans="1:9" s="17" customFormat="1">
      <c r="A30" s="49"/>
      <c r="B30" s="49"/>
      <c r="C30" s="52"/>
      <c r="D30" s="51"/>
    </row>
    <row r="31" spans="1:9" s="17" customFormat="1">
      <c r="A31" s="49"/>
      <c r="B31" s="49"/>
      <c r="C31" s="52"/>
      <c r="D31" s="51"/>
    </row>
    <row r="32" spans="1:9" s="17" customFormat="1">
      <c r="A32" s="49"/>
      <c r="B32" s="49"/>
      <c r="C32" s="52"/>
      <c r="D32" s="51"/>
    </row>
    <row r="33" spans="1:4" s="17" customFormat="1">
      <c r="A33" s="49"/>
      <c r="B33" s="49"/>
      <c r="C33" s="52"/>
      <c r="D33" s="51"/>
    </row>
    <row r="34" spans="1:4" s="17" customFormat="1">
      <c r="A34" s="49"/>
      <c r="B34" s="49"/>
      <c r="C34" s="52"/>
      <c r="D34" s="51"/>
    </row>
    <row r="35" spans="1:4" s="17" customFormat="1">
      <c r="A35" s="68"/>
      <c r="B35" s="68"/>
      <c r="C35" s="69"/>
      <c r="D35" s="70"/>
    </row>
    <row r="36" spans="1:4" s="17" customFormat="1">
      <c r="A36" s="68"/>
      <c r="B36" s="68"/>
      <c r="C36" s="69"/>
      <c r="D36" s="70"/>
    </row>
    <row r="37" spans="1:4" s="17" customFormat="1">
      <c r="A37" s="68"/>
      <c r="B37" s="68"/>
      <c r="C37" s="69"/>
      <c r="D37" s="70"/>
    </row>
    <row r="38" spans="1:4" s="17" customFormat="1">
      <c r="A38" s="68"/>
      <c r="B38" s="68"/>
      <c r="C38" s="69"/>
      <c r="D38" s="70"/>
    </row>
    <row r="39" spans="1:4" s="17" customFormat="1">
      <c r="A39" s="68"/>
      <c r="B39" s="68"/>
      <c r="C39" s="69"/>
      <c r="D39" s="70"/>
    </row>
    <row r="40" spans="1:4">
      <c r="A40" s="68"/>
      <c r="B40" s="68"/>
      <c r="C40" s="69"/>
      <c r="D40" s="70"/>
    </row>
    <row r="41" spans="1:4">
      <c r="A41" s="68"/>
      <c r="B41" s="68"/>
      <c r="C41" s="69"/>
      <c r="D41" s="70"/>
    </row>
    <row r="42" spans="1:4">
      <c r="A42" s="68"/>
      <c r="B42" s="68"/>
      <c r="C42" s="69"/>
      <c r="D42" s="70"/>
    </row>
    <row r="43" spans="1:4">
      <c r="A43" s="68"/>
      <c r="B43" s="68"/>
      <c r="C43" s="69"/>
      <c r="D43" s="70"/>
    </row>
    <row r="44" spans="1:4">
      <c r="A44" s="68"/>
      <c r="B44" s="68"/>
      <c r="C44" s="69"/>
      <c r="D44" s="70"/>
    </row>
    <row r="45" spans="1:4">
      <c r="A45" s="68"/>
      <c r="B45" s="68"/>
      <c r="C45" s="69"/>
      <c r="D45" s="70"/>
    </row>
    <row r="46" spans="1:4">
      <c r="A46" s="68"/>
      <c r="B46" s="68"/>
      <c r="C46" s="69"/>
      <c r="D46" s="70"/>
    </row>
    <row r="47" spans="1:4">
      <c r="A47" s="68"/>
      <c r="B47" s="68"/>
      <c r="C47" s="69"/>
      <c r="D47" s="70"/>
    </row>
    <row r="48" spans="1:4">
      <c r="A48" s="68"/>
      <c r="B48" s="68"/>
      <c r="C48" s="69"/>
      <c r="D48" s="70"/>
    </row>
    <row r="49" spans="1:4">
      <c r="A49" s="68"/>
      <c r="B49" s="68"/>
      <c r="C49" s="69"/>
      <c r="D49" s="70"/>
    </row>
    <row r="50" spans="1:4">
      <c r="A50" s="68"/>
      <c r="B50" s="68"/>
      <c r="C50" s="69"/>
      <c r="D50" s="70"/>
    </row>
    <row r="51" spans="1:4">
      <c r="A51" s="68"/>
      <c r="B51" s="68"/>
      <c r="C51" s="69"/>
      <c r="D51" s="70"/>
    </row>
    <row r="52" spans="1:4">
      <c r="A52" s="68"/>
      <c r="B52" s="68"/>
      <c r="C52" s="69"/>
      <c r="D52" s="70"/>
    </row>
    <row r="53" spans="1:4">
      <c r="A53" s="68"/>
      <c r="B53" s="68"/>
      <c r="C53" s="69"/>
      <c r="D53" s="70"/>
    </row>
    <row r="54" spans="1:4">
      <c r="A54" s="68"/>
      <c r="B54" s="68"/>
      <c r="C54" s="69"/>
      <c r="D54" s="70"/>
    </row>
    <row r="55" spans="1:4">
      <c r="A55" s="68"/>
      <c r="B55" s="68"/>
      <c r="C55" s="69"/>
      <c r="D55" s="70"/>
    </row>
  </sheetData>
  <dataConsolidate/>
  <dataValidations disablePrompts="1" count="1">
    <dataValidation type="list" allowBlank="1" showInputMessage="1" showErrorMessage="1" sqref="C1:C2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80" orientation="portrait" r:id="rId1"/>
  <headerFooter alignWithMargins="0">
    <oddHeader>&amp;L&amp;"ETML L,Normal"&amp;14ETML&amp;R&amp;"Century Gothic,Normal"&amp;12&amp;G</oddHeader>
    <oddFooter>&amp;L&amp;"Century Gothic,Normal"&amp;D&amp;C&amp;"Century Gothic,Normal"&amp;F - &amp;A&amp;R&amp;"Century Gothic,Normal"&amp;P/&amp;N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5" name="Button 6">
              <controlPr defaultSize="0" autoFill="0" autoPict="0" macro="[0]!btnGenerationGrille_Click">
                <anchor moveWithCells="1" sizeWithCells="1">
                  <from>
                    <xdr:col>4</xdr:col>
                    <xdr:colOff>428625</xdr:colOff>
                    <xdr:row>18</xdr:row>
                    <xdr:rowOff>47625</xdr:rowOff>
                  </from>
                  <to>
                    <xdr:col>4</xdr:col>
                    <xdr:colOff>2800350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btnAfficherMasquerObj_Click">
                <anchor moveWithCells="1" sizeWithCells="1">
                  <from>
                    <xdr:col>4</xdr:col>
                    <xdr:colOff>400050</xdr:colOff>
                    <xdr:row>1</xdr:row>
                    <xdr:rowOff>19050</xdr:rowOff>
                  </from>
                  <to>
                    <xdr:col>4</xdr:col>
                    <xdr:colOff>2781300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7" name="Button 9">
              <controlPr defaultSize="0" print="0" autoFill="0" autoPict="0" macro="[0]!btnAfficherMasquerEleve_Click">
                <anchor moveWithCells="1" sizeWithCells="1">
                  <from>
                    <xdr:col>4</xdr:col>
                    <xdr:colOff>400050</xdr:colOff>
                    <xdr:row>3</xdr:row>
                    <xdr:rowOff>142875</xdr:rowOff>
                  </from>
                  <to>
                    <xdr:col>4</xdr:col>
                    <xdr:colOff>2781300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8" name="Button 10">
              <controlPr defaultSize="0" autoFill="0" autoPict="0" macro="[0]!btnGenererSynthese_Click">
                <anchor moveWithCells="1" sizeWithCells="1">
                  <from>
                    <xdr:col>4</xdr:col>
                    <xdr:colOff>466725</xdr:colOff>
                    <xdr:row>26</xdr:row>
                    <xdr:rowOff>19050</xdr:rowOff>
                  </from>
                  <to>
                    <xdr:col>4</xdr:col>
                    <xdr:colOff>2838450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9" name="Button 11">
              <controlPr defaultSize="0" autoFill="0" autoPict="0" macro="[0]!btnNewObjectif_Click">
                <anchor moveWithCells="1" sizeWithCells="1">
                  <from>
                    <xdr:col>4</xdr:col>
                    <xdr:colOff>419100</xdr:colOff>
                    <xdr:row>14</xdr:row>
                    <xdr:rowOff>85725</xdr:rowOff>
                  </from>
                  <to>
                    <xdr:col>4</xdr:col>
                    <xdr:colOff>2800350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0" name="Button 13">
              <controlPr defaultSize="0" autoFill="0" autoPict="0" macro="[0]!FileStudentExport_Click">
                <anchor moveWithCells="1" sizeWithCells="1">
                  <from>
                    <xdr:col>4</xdr:col>
                    <xdr:colOff>457200</xdr:colOff>
                    <xdr:row>30</xdr:row>
                    <xdr:rowOff>38100</xdr:rowOff>
                  </from>
                  <to>
                    <xdr:col>4</xdr:col>
                    <xdr:colOff>2838450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1" name="Button 15">
              <controlPr defaultSize="0" print="0" autoFill="0" autoPict="0" macro="[0]!btnVerrouillerDeverrouillerEleve_Click">
                <anchor moveWithCells="1" sizeWithCells="1">
                  <from>
                    <xdr:col>4</xdr:col>
                    <xdr:colOff>400050</xdr:colOff>
                    <xdr:row>6</xdr:row>
                    <xdr:rowOff>76200</xdr:rowOff>
                  </from>
                  <to>
                    <xdr:col>4</xdr:col>
                    <xdr:colOff>2781300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2" name="Button 16">
              <controlPr defaultSize="0" print="0" autoFill="0" autoPict="0" macro="[0]!btnRecopieObj_Click">
                <anchor moveWithCells="1" sizeWithCells="1">
                  <from>
                    <xdr:col>4</xdr:col>
                    <xdr:colOff>409575</xdr:colOff>
                    <xdr:row>9</xdr:row>
                    <xdr:rowOff>76200</xdr:rowOff>
                  </from>
                  <to>
                    <xdr:col>4</xdr:col>
                    <xdr:colOff>2790825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3" name="Button 22">
              <controlPr defaultSize="0" autoFill="0" autoPict="0" macro="[0]!Feuil1.btnGenerationStudent_Click">
                <anchor moveWithCells="1" sizeWithCells="1">
                  <from>
                    <xdr:col>4</xdr:col>
                    <xdr:colOff>447675</xdr:colOff>
                    <xdr:row>21</xdr:row>
                    <xdr:rowOff>152400</xdr:rowOff>
                  </from>
                  <to>
                    <xdr:col>4</xdr:col>
                    <xdr:colOff>2828925</xdr:colOff>
                    <xdr:row>24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M39"/>
  <sheetViews>
    <sheetView zoomScaleNormal="100" workbookViewId="0">
      <selection activeCell="D28" sqref="D28"/>
    </sheetView>
  </sheetViews>
  <sheetFormatPr defaultColWidth="11.375" defaultRowHeight="15"/>
  <cols>
    <col min="1" max="1" width="15" style="4" customWidth="1"/>
    <col min="2" max="2" width="28.625" style="5" customWidth="1"/>
    <col min="3" max="3" width="26.625" style="7" customWidth="1"/>
    <col min="4" max="4" width="26.625" style="3" customWidth="1"/>
    <col min="5" max="5" width="5.625" style="3" customWidth="1"/>
    <col min="6" max="6" width="26.625" style="6" customWidth="1"/>
    <col min="7" max="7" width="26.625" style="1" customWidth="1"/>
    <col min="8" max="8" width="25.625" style="1" customWidth="1"/>
    <col min="9" max="9" width="26.625" style="1" customWidth="1"/>
    <col min="10" max="10" width="25.625" style="1" customWidth="1"/>
    <col min="11" max="11" width="10.5" style="1" customWidth="1"/>
    <col min="12" max="16384" width="11.375" style="1"/>
  </cols>
  <sheetData>
    <row r="1" spans="1:13" ht="42" customHeight="1">
      <c r="A1" s="45" t="s">
        <v>3</v>
      </c>
      <c r="B1" s="21" t="s">
        <v>55</v>
      </c>
      <c r="C1" s="21" t="s">
        <v>63</v>
      </c>
      <c r="D1" s="47" t="s">
        <v>10</v>
      </c>
      <c r="E1" s="46">
        <v>2</v>
      </c>
      <c r="F1" s="22"/>
      <c r="G1" s="23"/>
      <c r="H1" s="23"/>
      <c r="I1" s="24"/>
    </row>
    <row r="2" spans="1:13" ht="17.25" thickBot="1">
      <c r="A2" s="61"/>
      <c r="B2" s="25"/>
      <c r="C2" s="25"/>
      <c r="D2" s="26"/>
      <c r="E2" s="48"/>
      <c r="F2" s="27"/>
      <c r="G2" s="28"/>
      <c r="H2" s="28"/>
      <c r="I2" s="29"/>
    </row>
    <row r="3" spans="1:13" ht="28.5">
      <c r="A3" s="30" t="s">
        <v>5</v>
      </c>
      <c r="B3" s="31" t="s">
        <v>8</v>
      </c>
      <c r="C3" s="32" t="s">
        <v>6</v>
      </c>
      <c r="D3" s="32" t="s">
        <v>7</v>
      </c>
      <c r="E3" s="32" t="s">
        <v>4</v>
      </c>
      <c r="F3" s="33" t="s">
        <v>19</v>
      </c>
      <c r="G3" s="33" t="s">
        <v>20</v>
      </c>
      <c r="H3" s="33" t="s">
        <v>22</v>
      </c>
      <c r="I3" s="34" t="s">
        <v>21</v>
      </c>
      <c r="L3" s="2"/>
      <c r="M3" s="2"/>
    </row>
    <row r="4" spans="1:13" ht="30">
      <c r="A4" s="35" t="s">
        <v>43</v>
      </c>
      <c r="B4" s="36" t="s">
        <v>58</v>
      </c>
      <c r="C4" s="36" t="s">
        <v>57</v>
      </c>
      <c r="D4" s="37" t="s">
        <v>56</v>
      </c>
      <c r="E4" s="38">
        <v>1</v>
      </c>
      <c r="F4" s="37" t="s">
        <v>65</v>
      </c>
      <c r="G4" s="37" t="s">
        <v>66</v>
      </c>
      <c r="H4" s="37" t="s">
        <v>67</v>
      </c>
      <c r="I4" s="39" t="s">
        <v>45</v>
      </c>
      <c r="L4" s="2"/>
      <c r="M4" s="2"/>
    </row>
    <row r="5" spans="1:13" ht="30">
      <c r="A5" s="40" t="s">
        <v>43</v>
      </c>
      <c r="B5" s="41" t="s">
        <v>93</v>
      </c>
      <c r="C5" s="41" t="s">
        <v>44</v>
      </c>
      <c r="D5" s="42" t="s">
        <v>56</v>
      </c>
      <c r="E5" s="43">
        <v>1</v>
      </c>
      <c r="F5" s="42" t="s">
        <v>65</v>
      </c>
      <c r="G5" s="42" t="s">
        <v>66</v>
      </c>
      <c r="H5" s="42" t="s">
        <v>67</v>
      </c>
      <c r="I5" s="44" t="s">
        <v>45</v>
      </c>
      <c r="L5" s="2"/>
      <c r="M5" s="2"/>
    </row>
    <row r="6" spans="1:13">
      <c r="A6" s="35" t="s">
        <v>43</v>
      </c>
      <c r="B6" s="36" t="s">
        <v>59</v>
      </c>
      <c r="C6" s="36" t="s">
        <v>44</v>
      </c>
      <c r="D6" s="37" t="s">
        <v>56</v>
      </c>
      <c r="E6" s="38">
        <v>1</v>
      </c>
      <c r="F6" s="37" t="s">
        <v>65</v>
      </c>
      <c r="G6" s="37" t="s">
        <v>66</v>
      </c>
      <c r="H6" s="37" t="s">
        <v>67</v>
      </c>
      <c r="I6" s="39" t="s">
        <v>45</v>
      </c>
      <c r="L6" s="2"/>
      <c r="M6" s="2"/>
    </row>
    <row r="7" spans="1:13">
      <c r="A7" s="40" t="s">
        <v>43</v>
      </c>
      <c r="B7" s="41" t="s">
        <v>60</v>
      </c>
      <c r="C7" s="41" t="s">
        <v>44</v>
      </c>
      <c r="D7" s="42" t="s">
        <v>56</v>
      </c>
      <c r="E7" s="43">
        <v>1</v>
      </c>
      <c r="F7" s="42" t="s">
        <v>65</v>
      </c>
      <c r="G7" s="42" t="s">
        <v>66</v>
      </c>
      <c r="H7" s="42" t="s">
        <v>67</v>
      </c>
      <c r="I7" s="44" t="s">
        <v>45</v>
      </c>
      <c r="L7" s="2"/>
      <c r="M7" s="2"/>
    </row>
    <row r="8" spans="1:13">
      <c r="A8" s="35" t="s">
        <v>43</v>
      </c>
      <c r="B8" s="36" t="s">
        <v>61</v>
      </c>
      <c r="C8" s="36" t="s">
        <v>44</v>
      </c>
      <c r="D8" s="37" t="s">
        <v>56</v>
      </c>
      <c r="E8" s="38">
        <v>1</v>
      </c>
      <c r="F8" s="37" t="s">
        <v>65</v>
      </c>
      <c r="G8" s="37" t="s">
        <v>66</v>
      </c>
      <c r="H8" s="37" t="s">
        <v>67</v>
      </c>
      <c r="I8" s="39" t="s">
        <v>45</v>
      </c>
      <c r="L8" s="2"/>
      <c r="M8" s="2"/>
    </row>
    <row r="9" spans="1:13">
      <c r="A9" s="40" t="s">
        <v>43</v>
      </c>
      <c r="B9" s="132" t="s">
        <v>46</v>
      </c>
      <c r="C9" s="41" t="s">
        <v>44</v>
      </c>
      <c r="D9" s="42" t="s">
        <v>56</v>
      </c>
      <c r="E9" s="43">
        <v>1</v>
      </c>
      <c r="F9" s="42" t="s">
        <v>65</v>
      </c>
      <c r="G9" s="42" t="s">
        <v>66</v>
      </c>
      <c r="H9" s="42" t="s">
        <v>67</v>
      </c>
      <c r="I9" s="44" t="s">
        <v>45</v>
      </c>
    </row>
    <row r="10" spans="1:13">
      <c r="A10" s="35" t="s">
        <v>43</v>
      </c>
      <c r="B10" s="36" t="s">
        <v>62</v>
      </c>
      <c r="C10" s="36" t="s">
        <v>44</v>
      </c>
      <c r="D10" s="37" t="s">
        <v>56</v>
      </c>
      <c r="E10" s="38">
        <v>2</v>
      </c>
      <c r="F10" s="37" t="s">
        <v>65</v>
      </c>
      <c r="G10" s="37" t="s">
        <v>66</v>
      </c>
      <c r="H10" s="37" t="s">
        <v>67</v>
      </c>
      <c r="I10" s="39" t="s">
        <v>45</v>
      </c>
    </row>
    <row r="11" spans="1:13">
      <c r="A11" s="40" t="s">
        <v>43</v>
      </c>
      <c r="B11" s="41" t="s">
        <v>47</v>
      </c>
      <c r="C11" s="41" t="s">
        <v>44</v>
      </c>
      <c r="D11" s="42" t="s">
        <v>56</v>
      </c>
      <c r="E11" s="43">
        <v>1</v>
      </c>
      <c r="F11" s="42" t="s">
        <v>65</v>
      </c>
      <c r="G11" s="42" t="s">
        <v>66</v>
      </c>
      <c r="H11" s="42" t="s">
        <v>67</v>
      </c>
      <c r="I11" s="44" t="s">
        <v>45</v>
      </c>
    </row>
    <row r="12" spans="1:13">
      <c r="A12" s="35" t="s">
        <v>43</v>
      </c>
      <c r="B12" s="36" t="s">
        <v>92</v>
      </c>
      <c r="C12" s="36" t="s">
        <v>44</v>
      </c>
      <c r="D12" s="37" t="s">
        <v>56</v>
      </c>
      <c r="E12" s="38">
        <v>1</v>
      </c>
      <c r="F12" s="37" t="s">
        <v>65</v>
      </c>
      <c r="G12" s="37" t="s">
        <v>66</v>
      </c>
      <c r="H12" s="37" t="s">
        <v>67</v>
      </c>
      <c r="I12" s="39" t="s">
        <v>45</v>
      </c>
    </row>
    <row r="13" spans="1:13">
      <c r="A13" s="40" t="s">
        <v>43</v>
      </c>
      <c r="B13" s="41" t="s">
        <v>95</v>
      </c>
      <c r="C13" s="41" t="s">
        <v>44</v>
      </c>
      <c r="D13" s="42" t="s">
        <v>56</v>
      </c>
      <c r="E13" s="43">
        <v>1</v>
      </c>
      <c r="F13" s="42" t="s">
        <v>65</v>
      </c>
      <c r="G13" s="42" t="s">
        <v>66</v>
      </c>
      <c r="H13" s="42" t="s">
        <v>67</v>
      </c>
      <c r="I13" s="44" t="s">
        <v>45</v>
      </c>
    </row>
    <row r="14" spans="1:13">
      <c r="A14" s="35"/>
      <c r="B14" s="36"/>
      <c r="C14" s="36"/>
      <c r="D14" s="37"/>
      <c r="E14" s="38"/>
      <c r="F14" s="37"/>
      <c r="G14" s="37"/>
      <c r="H14" s="37"/>
      <c r="I14" s="39"/>
    </row>
    <row r="15" spans="1:13">
      <c r="A15" s="40"/>
      <c r="B15" s="41"/>
      <c r="C15" s="41"/>
      <c r="D15" s="42"/>
      <c r="E15" s="43"/>
      <c r="F15" s="42"/>
      <c r="G15" s="42"/>
      <c r="H15" s="42"/>
      <c r="I15" s="44"/>
    </row>
    <row r="16" spans="1:13">
      <c r="A16" s="35"/>
      <c r="B16" s="36"/>
      <c r="C16" s="36"/>
      <c r="D16" s="37"/>
      <c r="E16" s="38"/>
      <c r="F16" s="37"/>
      <c r="G16" s="37"/>
      <c r="H16" s="37"/>
      <c r="I16" s="39"/>
    </row>
    <row r="17" spans="1:9">
      <c r="A17" s="40"/>
      <c r="B17" s="41"/>
      <c r="C17" s="41"/>
      <c r="D17" s="42"/>
      <c r="E17" s="43"/>
      <c r="F17" s="42"/>
      <c r="G17" s="42"/>
      <c r="H17" s="42"/>
      <c r="I17" s="44"/>
    </row>
    <row r="18" spans="1:9">
      <c r="A18" s="35"/>
      <c r="B18" s="36"/>
      <c r="C18" s="36"/>
      <c r="D18" s="37"/>
      <c r="E18" s="38"/>
      <c r="F18" s="37"/>
      <c r="G18" s="37"/>
      <c r="H18" s="37"/>
      <c r="I18" s="39"/>
    </row>
    <row r="19" spans="1:9">
      <c r="A19" s="40"/>
      <c r="B19" s="41"/>
      <c r="C19" s="41"/>
      <c r="D19" s="42"/>
      <c r="E19" s="43"/>
      <c r="F19" s="42"/>
      <c r="G19" s="42"/>
      <c r="H19" s="42"/>
      <c r="I19" s="44"/>
    </row>
    <row r="20" spans="1:9">
      <c r="A20" s="35"/>
      <c r="B20" s="36"/>
      <c r="C20" s="36"/>
      <c r="D20" s="37"/>
      <c r="E20" s="38"/>
      <c r="F20" s="37"/>
      <c r="G20" s="37"/>
      <c r="H20" s="37"/>
      <c r="I20" s="39"/>
    </row>
    <row r="21" spans="1:9">
      <c r="A21" s="40"/>
      <c r="B21" s="41"/>
      <c r="C21" s="41"/>
      <c r="D21" s="42"/>
      <c r="E21" s="43"/>
      <c r="F21" s="42"/>
      <c r="G21" s="42"/>
      <c r="H21" s="42"/>
      <c r="I21" s="44"/>
    </row>
    <row r="22" spans="1:9">
      <c r="A22" s="35"/>
      <c r="B22" s="36"/>
      <c r="C22" s="36"/>
      <c r="D22" s="37"/>
      <c r="E22" s="38"/>
      <c r="F22" s="37"/>
      <c r="G22" s="37"/>
      <c r="H22" s="37"/>
      <c r="I22" s="39"/>
    </row>
    <row r="23" spans="1:9" ht="15.75" thickBot="1">
      <c r="A23" s="87"/>
      <c r="B23" s="88"/>
      <c r="C23" s="88"/>
      <c r="D23" s="89"/>
      <c r="E23" s="90"/>
      <c r="F23" s="89"/>
      <c r="G23" s="89"/>
      <c r="H23" s="89"/>
      <c r="I23" s="91"/>
    </row>
    <row r="24" spans="1:9">
      <c r="A24" s="1"/>
      <c r="B24" s="1"/>
      <c r="C24" s="1"/>
      <c r="D24" s="1"/>
      <c r="F24" s="1"/>
    </row>
    <row r="25" spans="1:9">
      <c r="A25" s="1"/>
      <c r="B25" s="1"/>
      <c r="C25" s="1"/>
      <c r="D25" s="1"/>
      <c r="F25" s="1"/>
    </row>
    <row r="26" spans="1:9">
      <c r="A26" s="1"/>
      <c r="B26" s="1"/>
      <c r="C26" s="1"/>
      <c r="D26" s="1"/>
      <c r="F26" s="1"/>
    </row>
    <row r="27" spans="1:9">
      <c r="A27" s="1"/>
      <c r="B27" s="1"/>
      <c r="C27" s="1"/>
      <c r="D27" s="1"/>
      <c r="F27" s="1"/>
    </row>
    <row r="28" spans="1:9">
      <c r="C28" s="5"/>
      <c r="D28" s="5"/>
      <c r="F28" s="1"/>
    </row>
    <row r="29" spans="1:9">
      <c r="C29" s="5"/>
      <c r="D29" s="5"/>
      <c r="F29" s="1"/>
    </row>
    <row r="30" spans="1:9">
      <c r="C30" s="5"/>
      <c r="D30" s="5"/>
      <c r="F30" s="1"/>
    </row>
    <row r="31" spans="1:9">
      <c r="B31" s="7"/>
      <c r="D31" s="7"/>
      <c r="F31" s="1"/>
    </row>
    <row r="32" spans="1:9">
      <c r="B32" s="7"/>
      <c r="D32" s="7"/>
      <c r="F32" s="1"/>
    </row>
    <row r="33" spans="2:6">
      <c r="B33" s="7"/>
      <c r="D33" s="7"/>
      <c r="F33" s="1"/>
    </row>
    <row r="34" spans="2:6">
      <c r="C34" s="5"/>
      <c r="D34" s="5"/>
    </row>
    <row r="35" spans="2:6">
      <c r="C35" s="1"/>
    </row>
    <row r="36" spans="2:6">
      <c r="C36" s="1"/>
    </row>
    <row r="37" spans="2:6">
      <c r="C37" s="1"/>
    </row>
    <row r="38" spans="2:6">
      <c r="C38" s="1"/>
    </row>
    <row r="39" spans="2:6">
      <c r="C39" s="1"/>
    </row>
  </sheetData>
  <sheetProtection selectLockedCells="1"/>
  <dataConsolidate/>
  <dataValidations count="2">
    <dataValidation type="list" showInputMessage="1" showErrorMessage="1" sqref="E1 E4:E23">
      <formula1>"0,1,2,3,4,5,6,7,8,9"</formula1>
    </dataValidation>
    <dataValidation type="list" allowBlank="1" showInputMessage="1" showErrorMessage="1" sqref="A4:A23">
      <formula1>"Connait,Comprend,Applique,Analyse,Produit,Evalue"</formula1>
    </dataValidation>
  </dataValidations>
  <printOptions horizontalCentered="1" verticalCentered="1"/>
  <pageMargins left="0.59055118110236227" right="0.59055118110236227" top="0.98425196850393704" bottom="0.98425196850393704" header="0.51181102362204722" footer="0.51181102362204722"/>
  <pageSetup paperSize="9" scale="59" orientation="landscape" r:id="rId1"/>
  <headerFooter alignWithMargins="0">
    <oddHeader>&amp;L&amp;"ETML L,Normal"ETML&amp;R&amp;G</oddHeader>
    <oddFooter>&amp;L&amp;"Comic Sans MS,Normal"&amp;D&amp;C&amp;"Century Gothic,Normal"&amp;F - &amp;A&amp;R&amp;"Century Gothic,Normal"&amp;P/&amp;N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M39"/>
  <sheetViews>
    <sheetView zoomScaleNormal="100" workbookViewId="0">
      <selection activeCell="C11" sqref="C11"/>
    </sheetView>
  </sheetViews>
  <sheetFormatPr defaultColWidth="11.375" defaultRowHeight="15"/>
  <cols>
    <col min="1" max="1" width="15" style="4" customWidth="1"/>
    <col min="2" max="2" width="26.625" style="5" customWidth="1"/>
    <col min="3" max="3" width="26.625" style="7" customWidth="1"/>
    <col min="4" max="4" width="26.625" style="3" customWidth="1"/>
    <col min="5" max="5" width="5.625" style="3" customWidth="1"/>
    <col min="6" max="6" width="26.625" style="6" customWidth="1"/>
    <col min="7" max="7" width="26.625" style="1" customWidth="1"/>
    <col min="8" max="8" width="25.625" style="1" customWidth="1"/>
    <col min="9" max="9" width="26.625" style="1" customWidth="1"/>
    <col min="10" max="10" width="25.625" style="1" customWidth="1"/>
    <col min="11" max="11" width="10.5" style="1" customWidth="1"/>
    <col min="12" max="16384" width="11.375" style="1"/>
  </cols>
  <sheetData>
    <row r="1" spans="1:13" ht="42" customHeight="1">
      <c r="A1" s="45" t="s">
        <v>3</v>
      </c>
      <c r="B1" s="21" t="s">
        <v>64</v>
      </c>
      <c r="C1" s="21" t="s">
        <v>115</v>
      </c>
      <c r="D1" s="47" t="s">
        <v>10</v>
      </c>
      <c r="E1" s="46">
        <v>1</v>
      </c>
      <c r="F1" s="22"/>
      <c r="G1" s="23"/>
      <c r="H1" s="23"/>
      <c r="I1" s="24"/>
    </row>
    <row r="2" spans="1:13" ht="17.25" thickBot="1">
      <c r="A2" s="61"/>
      <c r="B2" s="25"/>
      <c r="C2" s="25"/>
      <c r="D2" s="26"/>
      <c r="E2" s="48"/>
      <c r="F2" s="27"/>
      <c r="G2" s="28"/>
      <c r="H2" s="28"/>
      <c r="I2" s="29"/>
    </row>
    <row r="3" spans="1:13" ht="28.5">
      <c r="A3" s="30" t="s">
        <v>5</v>
      </c>
      <c r="B3" s="31" t="s">
        <v>8</v>
      </c>
      <c r="C3" s="32" t="s">
        <v>6</v>
      </c>
      <c r="D3" s="32" t="s">
        <v>7</v>
      </c>
      <c r="E3" s="32" t="s">
        <v>4</v>
      </c>
      <c r="F3" s="33" t="s">
        <v>19</v>
      </c>
      <c r="G3" s="33" t="s">
        <v>20</v>
      </c>
      <c r="H3" s="33" t="s">
        <v>22</v>
      </c>
      <c r="I3" s="34" t="s">
        <v>21</v>
      </c>
      <c r="L3" s="2"/>
      <c r="M3" s="2"/>
    </row>
    <row r="4" spans="1:13" ht="30">
      <c r="A4" s="35" t="s">
        <v>43</v>
      </c>
      <c r="B4" s="36" t="s">
        <v>69</v>
      </c>
      <c r="C4" s="36" t="s">
        <v>68</v>
      </c>
      <c r="D4" s="37" t="s">
        <v>56</v>
      </c>
      <c r="E4" s="38">
        <v>1</v>
      </c>
      <c r="F4" s="37" t="s">
        <v>65</v>
      </c>
      <c r="G4" s="37" t="s">
        <v>66</v>
      </c>
      <c r="H4" s="37" t="s">
        <v>67</v>
      </c>
      <c r="I4" s="39" t="s">
        <v>45</v>
      </c>
      <c r="L4" s="2"/>
      <c r="M4" s="2"/>
    </row>
    <row r="5" spans="1:13" ht="30">
      <c r="A5" s="40" t="s">
        <v>43</v>
      </c>
      <c r="B5" s="41" t="s">
        <v>70</v>
      </c>
      <c r="C5" s="41" t="s">
        <v>68</v>
      </c>
      <c r="D5" s="42" t="s">
        <v>56</v>
      </c>
      <c r="E5" s="43">
        <v>1</v>
      </c>
      <c r="F5" s="42" t="s">
        <v>65</v>
      </c>
      <c r="G5" s="42" t="s">
        <v>66</v>
      </c>
      <c r="H5" s="42" t="s">
        <v>67</v>
      </c>
      <c r="I5" s="44" t="s">
        <v>45</v>
      </c>
      <c r="L5" s="2"/>
      <c r="M5" s="2"/>
    </row>
    <row r="6" spans="1:13">
      <c r="A6" s="35"/>
      <c r="B6" s="36"/>
      <c r="C6" s="36"/>
      <c r="D6" s="37"/>
      <c r="E6" s="38"/>
      <c r="F6" s="37"/>
      <c r="G6" s="37"/>
      <c r="H6" s="37"/>
      <c r="I6" s="39"/>
      <c r="L6" s="2"/>
      <c r="M6" s="2"/>
    </row>
    <row r="7" spans="1:13">
      <c r="A7" s="40"/>
      <c r="B7" s="41"/>
      <c r="C7" s="41"/>
      <c r="D7" s="42"/>
      <c r="E7" s="43"/>
      <c r="F7" s="42"/>
      <c r="G7" s="42"/>
      <c r="H7" s="42"/>
      <c r="I7" s="44"/>
      <c r="L7" s="2"/>
      <c r="M7" s="2"/>
    </row>
    <row r="8" spans="1:13">
      <c r="A8" s="35"/>
      <c r="B8" s="36"/>
      <c r="C8" s="36"/>
      <c r="D8" s="37"/>
      <c r="E8" s="38"/>
      <c r="F8" s="37"/>
      <c r="G8" s="37"/>
      <c r="H8" s="37"/>
      <c r="I8" s="39"/>
      <c r="L8" s="2"/>
      <c r="M8" s="2"/>
    </row>
    <row r="9" spans="1:13">
      <c r="A9" s="40"/>
      <c r="B9" s="41"/>
      <c r="C9" s="41"/>
      <c r="D9" s="42"/>
      <c r="E9" s="43"/>
      <c r="F9" s="42"/>
      <c r="G9" s="42"/>
      <c r="H9" s="42"/>
      <c r="I9" s="44"/>
    </row>
    <row r="10" spans="1:13">
      <c r="A10" s="35"/>
      <c r="B10" s="36"/>
      <c r="C10" s="36"/>
      <c r="D10" s="37"/>
      <c r="E10" s="38"/>
      <c r="F10" s="37"/>
      <c r="G10" s="37"/>
      <c r="H10" s="37"/>
      <c r="I10" s="39"/>
    </row>
    <row r="11" spans="1:13">
      <c r="A11" s="40"/>
      <c r="B11" s="41"/>
      <c r="C11" s="41"/>
      <c r="D11" s="42"/>
      <c r="E11" s="43"/>
      <c r="F11" s="42"/>
      <c r="G11" s="42"/>
      <c r="H11" s="42"/>
      <c r="I11" s="44"/>
    </row>
    <row r="12" spans="1:13">
      <c r="A12" s="35"/>
      <c r="B12" s="36"/>
      <c r="C12" s="36"/>
      <c r="D12" s="37"/>
      <c r="E12" s="38"/>
      <c r="F12" s="37"/>
      <c r="G12" s="37"/>
      <c r="H12" s="37"/>
      <c r="I12" s="39"/>
    </row>
    <row r="13" spans="1:13">
      <c r="A13" s="40"/>
      <c r="B13" s="41"/>
      <c r="C13" s="41"/>
      <c r="D13" s="42"/>
      <c r="E13" s="43"/>
      <c r="F13" s="42"/>
      <c r="G13" s="42"/>
      <c r="H13" s="42"/>
      <c r="I13" s="44"/>
    </row>
    <row r="14" spans="1:13">
      <c r="A14" s="35"/>
      <c r="B14" s="36"/>
      <c r="C14" s="36"/>
      <c r="D14" s="37"/>
      <c r="E14" s="38"/>
      <c r="F14" s="37"/>
      <c r="G14" s="37"/>
      <c r="H14" s="37"/>
      <c r="I14" s="39"/>
    </row>
    <row r="15" spans="1:13">
      <c r="A15" s="40"/>
      <c r="B15" s="41"/>
      <c r="C15" s="41"/>
      <c r="D15" s="42"/>
      <c r="E15" s="43"/>
      <c r="F15" s="42"/>
      <c r="G15" s="42"/>
      <c r="H15" s="42"/>
      <c r="I15" s="44"/>
    </row>
    <row r="16" spans="1:13">
      <c r="A16" s="35"/>
      <c r="B16" s="36"/>
      <c r="C16" s="36"/>
      <c r="D16" s="37"/>
      <c r="E16" s="38"/>
      <c r="F16" s="37"/>
      <c r="G16" s="37"/>
      <c r="H16" s="37"/>
      <c r="I16" s="39"/>
    </row>
    <row r="17" spans="1:9">
      <c r="A17" s="40"/>
      <c r="B17" s="41"/>
      <c r="C17" s="41"/>
      <c r="D17" s="42"/>
      <c r="E17" s="43"/>
      <c r="F17" s="42"/>
      <c r="G17" s="42"/>
      <c r="H17" s="42"/>
      <c r="I17" s="44"/>
    </row>
    <row r="18" spans="1:9">
      <c r="A18" s="35"/>
      <c r="B18" s="36"/>
      <c r="C18" s="36"/>
      <c r="D18" s="37"/>
      <c r="E18" s="38"/>
      <c r="F18" s="37"/>
      <c r="G18" s="37"/>
      <c r="H18" s="37"/>
      <c r="I18" s="39"/>
    </row>
    <row r="19" spans="1:9">
      <c r="A19" s="40"/>
      <c r="B19" s="41"/>
      <c r="C19" s="41"/>
      <c r="D19" s="42"/>
      <c r="E19" s="43"/>
      <c r="F19" s="42"/>
      <c r="G19" s="42"/>
      <c r="H19" s="42"/>
      <c r="I19" s="44"/>
    </row>
    <row r="20" spans="1:9">
      <c r="A20" s="35"/>
      <c r="B20" s="36"/>
      <c r="C20" s="36"/>
      <c r="D20" s="37"/>
      <c r="E20" s="38"/>
      <c r="F20" s="37"/>
      <c r="G20" s="37"/>
      <c r="H20" s="37"/>
      <c r="I20" s="39"/>
    </row>
    <row r="21" spans="1:9">
      <c r="A21" s="40"/>
      <c r="B21" s="41"/>
      <c r="C21" s="41"/>
      <c r="D21" s="42"/>
      <c r="E21" s="43"/>
      <c r="F21" s="42"/>
      <c r="G21" s="42"/>
      <c r="H21" s="42"/>
      <c r="I21" s="44"/>
    </row>
    <row r="22" spans="1:9">
      <c r="A22" s="35"/>
      <c r="B22" s="36"/>
      <c r="C22" s="36"/>
      <c r="D22" s="37"/>
      <c r="E22" s="38"/>
      <c r="F22" s="37"/>
      <c r="G22" s="37"/>
      <c r="H22" s="37"/>
      <c r="I22" s="39"/>
    </row>
    <row r="23" spans="1:9" ht="15.75" thickBot="1">
      <c r="A23" s="87"/>
      <c r="B23" s="88"/>
      <c r="C23" s="88"/>
      <c r="D23" s="89"/>
      <c r="E23" s="90"/>
      <c r="F23" s="89"/>
      <c r="G23" s="89"/>
      <c r="H23" s="89"/>
      <c r="I23" s="91"/>
    </row>
    <row r="24" spans="1:9">
      <c r="A24" s="1"/>
      <c r="B24" s="1"/>
      <c r="C24" s="1"/>
      <c r="D24" s="1"/>
      <c r="F24" s="1"/>
    </row>
    <row r="25" spans="1:9">
      <c r="A25" s="1"/>
      <c r="B25" s="1"/>
      <c r="C25" s="1"/>
      <c r="D25" s="1"/>
      <c r="F25" s="1"/>
    </row>
    <row r="26" spans="1:9">
      <c r="A26" s="1"/>
      <c r="B26" s="1"/>
      <c r="C26" s="1"/>
      <c r="D26" s="1"/>
      <c r="F26" s="1"/>
    </row>
    <row r="27" spans="1:9">
      <c r="A27" s="1"/>
      <c r="B27" s="1"/>
      <c r="C27" s="1"/>
      <c r="D27" s="1"/>
      <c r="F27" s="1"/>
    </row>
    <row r="28" spans="1:9">
      <c r="C28" s="5"/>
      <c r="D28" s="5"/>
      <c r="F28" s="1"/>
    </row>
    <row r="29" spans="1:9">
      <c r="C29" s="5"/>
      <c r="D29" s="5"/>
      <c r="F29" s="1"/>
    </row>
    <row r="30" spans="1:9">
      <c r="C30" s="5"/>
      <c r="D30" s="5"/>
      <c r="F30" s="1"/>
    </row>
    <row r="31" spans="1:9">
      <c r="B31" s="7"/>
      <c r="D31" s="7"/>
      <c r="F31" s="1"/>
    </row>
    <row r="32" spans="1:9">
      <c r="B32" s="7"/>
      <c r="D32" s="7"/>
      <c r="F32" s="1"/>
    </row>
    <row r="33" spans="2:6">
      <c r="B33" s="7"/>
      <c r="D33" s="7"/>
      <c r="F33" s="1"/>
    </row>
    <row r="34" spans="2:6">
      <c r="C34" s="5"/>
      <c r="D34" s="5"/>
    </row>
    <row r="35" spans="2:6">
      <c r="C35" s="1"/>
    </row>
    <row r="36" spans="2:6">
      <c r="C36" s="1"/>
    </row>
    <row r="37" spans="2:6">
      <c r="C37" s="1"/>
    </row>
    <row r="38" spans="2:6">
      <c r="C38" s="1"/>
    </row>
    <row r="39" spans="2:6">
      <c r="C39" s="1"/>
    </row>
  </sheetData>
  <sheetProtection selectLockedCells="1"/>
  <dataConsolidate/>
  <dataValidations disablePrompts="1" count="2">
    <dataValidation type="list" showInputMessage="1" showErrorMessage="1" sqref="E1 E4:E23">
      <formula1>"0,1,2,3,4,5,6,7,8,9"</formula1>
    </dataValidation>
    <dataValidation type="list" allowBlank="1" showInputMessage="1" showErrorMessage="1" sqref="A4:A23">
      <formula1>"Connait,Comprend,Applique,Analyse,Produit,Evalue"</formula1>
    </dataValidation>
  </dataValidations>
  <printOptions horizontalCentered="1" verticalCentered="1"/>
  <pageMargins left="0.59055118110236227" right="0.59055118110236227" top="0.98425196850393704" bottom="0.98425196850393704" header="0.51181102362204722" footer="0.51181102362204722"/>
  <pageSetup paperSize="9" scale="59" orientation="landscape" r:id="rId1"/>
  <headerFooter alignWithMargins="0">
    <oddHeader>&amp;L&amp;"ETML L,Normal"ETML&amp;R&amp;G</oddHeader>
    <oddFooter>&amp;L&amp;"Comic Sans MS,Normal"&amp;D&amp;C&amp;"Century Gothic,Normal"&amp;F - &amp;A&amp;R&amp;"Century Gothic,Normal"&amp;P/&amp;N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A1:M39"/>
  <sheetViews>
    <sheetView zoomScaleNormal="100" workbookViewId="0">
      <selection activeCell="D11" sqref="D11"/>
    </sheetView>
  </sheetViews>
  <sheetFormatPr defaultColWidth="11.375" defaultRowHeight="15"/>
  <cols>
    <col min="1" max="1" width="15" style="4" customWidth="1"/>
    <col min="2" max="2" width="26.625" style="5" customWidth="1"/>
    <col min="3" max="3" width="26.625" style="7" customWidth="1"/>
    <col min="4" max="4" width="26.625" style="3" customWidth="1"/>
    <col min="5" max="5" width="5.625" style="3" customWidth="1"/>
    <col min="6" max="6" width="26.625" style="6" customWidth="1"/>
    <col min="7" max="7" width="26.625" style="1" customWidth="1"/>
    <col min="8" max="8" width="25.625" style="1" customWidth="1"/>
    <col min="9" max="9" width="26.625" style="1" customWidth="1"/>
    <col min="10" max="10" width="25.625" style="1" customWidth="1"/>
    <col min="11" max="11" width="10.5" style="1" customWidth="1"/>
    <col min="12" max="16384" width="11.375" style="1"/>
  </cols>
  <sheetData>
    <row r="1" spans="1:13" ht="42" customHeight="1">
      <c r="A1" s="45" t="s">
        <v>3</v>
      </c>
      <c r="B1" s="21" t="s">
        <v>116</v>
      </c>
      <c r="C1" s="21"/>
      <c r="D1" s="47" t="s">
        <v>10</v>
      </c>
      <c r="E1" s="46">
        <v>1</v>
      </c>
      <c r="F1" s="22"/>
      <c r="G1" s="23"/>
      <c r="H1" s="23"/>
      <c r="I1" s="24"/>
    </row>
    <row r="2" spans="1:13" ht="17.25" thickBot="1">
      <c r="A2" s="61"/>
      <c r="B2" s="25"/>
      <c r="C2" s="25"/>
      <c r="D2" s="26"/>
      <c r="E2" s="48"/>
      <c r="F2" s="27"/>
      <c r="G2" s="28"/>
      <c r="H2" s="28"/>
      <c r="I2" s="29"/>
    </row>
    <row r="3" spans="1:13" ht="28.5">
      <c r="A3" s="30" t="s">
        <v>5</v>
      </c>
      <c r="B3" s="31" t="s">
        <v>8</v>
      </c>
      <c r="C3" s="32" t="s">
        <v>6</v>
      </c>
      <c r="D3" s="32" t="s">
        <v>7</v>
      </c>
      <c r="E3" s="32" t="s">
        <v>4</v>
      </c>
      <c r="F3" s="33" t="s">
        <v>19</v>
      </c>
      <c r="G3" s="33" t="s">
        <v>20</v>
      </c>
      <c r="H3" s="33" t="s">
        <v>22</v>
      </c>
      <c r="I3" s="34" t="s">
        <v>21</v>
      </c>
      <c r="L3" s="2"/>
      <c r="M3" s="2"/>
    </row>
    <row r="4" spans="1:13" ht="30">
      <c r="A4" s="35" t="s">
        <v>43</v>
      </c>
      <c r="B4" s="36" t="s">
        <v>96</v>
      </c>
      <c r="C4" s="36" t="s">
        <v>97</v>
      </c>
      <c r="D4" s="37" t="s">
        <v>56</v>
      </c>
      <c r="E4" s="38">
        <v>2</v>
      </c>
      <c r="F4" s="37" t="s">
        <v>65</v>
      </c>
      <c r="G4" s="37" t="s">
        <v>66</v>
      </c>
      <c r="H4" s="37" t="s">
        <v>67</v>
      </c>
      <c r="I4" s="39" t="s">
        <v>45</v>
      </c>
      <c r="L4" s="2"/>
      <c r="M4" s="2"/>
    </row>
    <row r="5" spans="1:13" ht="30">
      <c r="A5" s="40" t="s">
        <v>43</v>
      </c>
      <c r="B5" s="41" t="s">
        <v>98</v>
      </c>
      <c r="C5" s="41" t="s">
        <v>99</v>
      </c>
      <c r="D5" s="42" t="s">
        <v>56</v>
      </c>
      <c r="E5" s="43">
        <v>1</v>
      </c>
      <c r="F5" s="42" t="s">
        <v>65</v>
      </c>
      <c r="G5" s="42" t="s">
        <v>66</v>
      </c>
      <c r="H5" s="42" t="s">
        <v>67</v>
      </c>
      <c r="I5" s="44" t="s">
        <v>45</v>
      </c>
      <c r="L5" s="2"/>
      <c r="M5" s="2"/>
    </row>
    <row r="6" spans="1:13" ht="30">
      <c r="A6" s="35" t="s">
        <v>43</v>
      </c>
      <c r="B6" s="36" t="s">
        <v>100</v>
      </c>
      <c r="C6" s="36" t="s">
        <v>112</v>
      </c>
      <c r="D6" s="37" t="s">
        <v>56</v>
      </c>
      <c r="E6" s="38">
        <v>1</v>
      </c>
      <c r="F6" s="37" t="s">
        <v>65</v>
      </c>
      <c r="G6" s="37" t="s">
        <v>66</v>
      </c>
      <c r="H6" s="37" t="s">
        <v>67</v>
      </c>
      <c r="I6" s="39" t="s">
        <v>45</v>
      </c>
      <c r="L6" s="2"/>
      <c r="M6" s="2"/>
    </row>
    <row r="7" spans="1:13" ht="30">
      <c r="A7" s="40" t="s">
        <v>43</v>
      </c>
      <c r="B7" s="41" t="s">
        <v>101</v>
      </c>
      <c r="C7" s="41" t="s">
        <v>113</v>
      </c>
      <c r="D7" s="42" t="s">
        <v>56</v>
      </c>
      <c r="E7" s="43">
        <v>1</v>
      </c>
      <c r="F7" s="42" t="s">
        <v>65</v>
      </c>
      <c r="G7" s="42" t="s">
        <v>66</v>
      </c>
      <c r="H7" s="42" t="s">
        <v>67</v>
      </c>
      <c r="I7" s="44" t="s">
        <v>45</v>
      </c>
      <c r="L7" s="2"/>
      <c r="M7" s="2"/>
    </row>
    <row r="8" spans="1:13">
      <c r="A8" s="35" t="s">
        <v>43</v>
      </c>
      <c r="B8" s="36" t="s">
        <v>102</v>
      </c>
      <c r="C8" s="36" t="s">
        <v>114</v>
      </c>
      <c r="D8" s="37" t="s">
        <v>56</v>
      </c>
      <c r="E8" s="38">
        <v>1</v>
      </c>
      <c r="F8" s="37" t="s">
        <v>65</v>
      </c>
      <c r="G8" s="37" t="s">
        <v>66</v>
      </c>
      <c r="H8" s="37" t="s">
        <v>67</v>
      </c>
      <c r="I8" s="39" t="s">
        <v>45</v>
      </c>
      <c r="L8" s="2"/>
      <c r="M8" s="2"/>
    </row>
    <row r="9" spans="1:13">
      <c r="A9" s="40" t="s">
        <v>43</v>
      </c>
      <c r="B9" s="41" t="s">
        <v>118</v>
      </c>
      <c r="C9" s="41" t="s">
        <v>118</v>
      </c>
      <c r="D9" s="42" t="s">
        <v>118</v>
      </c>
      <c r="E9" s="43">
        <v>1</v>
      </c>
      <c r="F9" s="42" t="s">
        <v>65</v>
      </c>
      <c r="G9" s="42" t="s">
        <v>66</v>
      </c>
      <c r="H9" s="42" t="s">
        <v>67</v>
      </c>
      <c r="I9" s="44" t="s">
        <v>45</v>
      </c>
    </row>
    <row r="10" spans="1:13">
      <c r="A10" s="35"/>
      <c r="B10" s="36"/>
      <c r="C10" s="36"/>
      <c r="D10" s="37"/>
      <c r="E10" s="38"/>
      <c r="F10" s="37"/>
      <c r="G10" s="37"/>
      <c r="H10" s="37"/>
      <c r="I10" s="39"/>
    </row>
    <row r="11" spans="1:13">
      <c r="A11" s="40"/>
      <c r="B11" s="41"/>
      <c r="C11" s="41"/>
      <c r="D11" s="42"/>
      <c r="E11" s="43"/>
      <c r="F11" s="42"/>
      <c r="G11" s="42"/>
      <c r="H11" s="42"/>
      <c r="I11" s="44"/>
    </row>
    <row r="12" spans="1:13">
      <c r="A12" s="35"/>
      <c r="B12" s="36"/>
      <c r="C12" s="36"/>
      <c r="D12" s="37"/>
      <c r="E12" s="38"/>
      <c r="F12" s="37"/>
      <c r="G12" s="37"/>
      <c r="H12" s="37"/>
      <c r="I12" s="39"/>
    </row>
    <row r="13" spans="1:13">
      <c r="A13" s="40"/>
      <c r="B13" s="41"/>
      <c r="C13" s="41"/>
      <c r="D13" s="42"/>
      <c r="E13" s="43"/>
      <c r="F13" s="42"/>
      <c r="G13" s="42"/>
      <c r="H13" s="42"/>
      <c r="I13" s="44"/>
    </row>
    <row r="14" spans="1:13">
      <c r="A14" s="35"/>
      <c r="B14" s="36"/>
      <c r="C14" s="36"/>
      <c r="D14" s="37"/>
      <c r="E14" s="38"/>
      <c r="F14" s="37"/>
      <c r="G14" s="37"/>
      <c r="H14" s="37"/>
      <c r="I14" s="39"/>
    </row>
    <row r="15" spans="1:13">
      <c r="A15" s="40"/>
      <c r="B15" s="41"/>
      <c r="C15" s="41"/>
      <c r="D15" s="42"/>
      <c r="E15" s="43"/>
      <c r="F15" s="42"/>
      <c r="G15" s="42"/>
      <c r="H15" s="42"/>
      <c r="I15" s="44"/>
    </row>
    <row r="16" spans="1:13">
      <c r="A16" s="35"/>
      <c r="B16" s="36"/>
      <c r="C16" s="36"/>
      <c r="D16" s="37"/>
      <c r="E16" s="38"/>
      <c r="F16" s="37"/>
      <c r="G16" s="37"/>
      <c r="H16" s="37"/>
      <c r="I16" s="39"/>
    </row>
    <row r="17" spans="1:9">
      <c r="A17" s="40"/>
      <c r="B17" s="41"/>
      <c r="C17" s="41"/>
      <c r="D17" s="42"/>
      <c r="E17" s="43"/>
      <c r="F17" s="42"/>
      <c r="G17" s="42"/>
      <c r="H17" s="42"/>
      <c r="I17" s="44"/>
    </row>
    <row r="18" spans="1:9">
      <c r="A18" s="35"/>
      <c r="B18" s="36"/>
      <c r="C18" s="36"/>
      <c r="D18" s="37"/>
      <c r="E18" s="38"/>
      <c r="F18" s="37"/>
      <c r="G18" s="37"/>
      <c r="H18" s="37"/>
      <c r="I18" s="39"/>
    </row>
    <row r="19" spans="1:9">
      <c r="A19" s="40"/>
      <c r="B19" s="41"/>
      <c r="C19" s="41"/>
      <c r="D19" s="42"/>
      <c r="E19" s="43"/>
      <c r="F19" s="42"/>
      <c r="G19" s="42"/>
      <c r="H19" s="42"/>
      <c r="I19" s="44"/>
    </row>
    <row r="20" spans="1:9">
      <c r="A20" s="35"/>
      <c r="B20" s="36"/>
      <c r="C20" s="36"/>
      <c r="D20" s="37"/>
      <c r="E20" s="38"/>
      <c r="F20" s="37"/>
      <c r="G20" s="37"/>
      <c r="H20" s="37"/>
      <c r="I20" s="39"/>
    </row>
    <row r="21" spans="1:9">
      <c r="A21" s="40"/>
      <c r="B21" s="41"/>
      <c r="C21" s="41"/>
      <c r="D21" s="42"/>
      <c r="E21" s="43"/>
      <c r="F21" s="42"/>
      <c r="G21" s="42"/>
      <c r="H21" s="42"/>
      <c r="I21" s="44"/>
    </row>
    <row r="22" spans="1:9">
      <c r="A22" s="35"/>
      <c r="B22" s="36"/>
      <c r="C22" s="36"/>
      <c r="D22" s="37"/>
      <c r="E22" s="38"/>
      <c r="F22" s="37"/>
      <c r="G22" s="37"/>
      <c r="H22" s="37"/>
      <c r="I22" s="39"/>
    </row>
    <row r="23" spans="1:9" ht="15.75" thickBot="1">
      <c r="A23" s="87"/>
      <c r="B23" s="88"/>
      <c r="C23" s="88"/>
      <c r="D23" s="89"/>
      <c r="E23" s="90"/>
      <c r="F23" s="89"/>
      <c r="G23" s="89"/>
      <c r="H23" s="89"/>
      <c r="I23" s="91"/>
    </row>
    <row r="24" spans="1:9">
      <c r="A24" s="1"/>
      <c r="B24" s="1"/>
      <c r="C24" s="1"/>
      <c r="D24" s="1"/>
      <c r="F24" s="1"/>
    </row>
    <row r="25" spans="1:9">
      <c r="A25" s="1"/>
      <c r="B25" s="1"/>
      <c r="C25" s="1"/>
      <c r="D25" s="1"/>
      <c r="F25" s="1"/>
    </row>
    <row r="26" spans="1:9">
      <c r="A26" s="1"/>
      <c r="B26" s="1"/>
      <c r="C26" s="1"/>
      <c r="D26" s="1"/>
      <c r="F26" s="1"/>
    </row>
    <row r="27" spans="1:9">
      <c r="A27" s="1"/>
      <c r="B27" s="1"/>
      <c r="C27" s="1"/>
      <c r="D27" s="1"/>
      <c r="F27" s="1"/>
    </row>
    <row r="28" spans="1:9">
      <c r="C28" s="5"/>
      <c r="D28" s="5"/>
      <c r="F28" s="1"/>
    </row>
    <row r="29" spans="1:9">
      <c r="C29" s="5"/>
      <c r="D29" s="5"/>
      <c r="F29" s="1"/>
    </row>
    <row r="30" spans="1:9">
      <c r="C30" s="5"/>
      <c r="D30" s="5"/>
      <c r="F30" s="1"/>
    </row>
    <row r="31" spans="1:9">
      <c r="B31" s="7"/>
      <c r="D31" s="7"/>
      <c r="F31" s="1"/>
    </row>
    <row r="32" spans="1:9">
      <c r="B32" s="7"/>
      <c r="D32" s="7"/>
      <c r="F32" s="1"/>
    </row>
    <row r="33" spans="2:6">
      <c r="B33" s="7"/>
      <c r="D33" s="7"/>
      <c r="F33" s="1"/>
    </row>
    <row r="34" spans="2:6">
      <c r="C34" s="5"/>
      <c r="D34" s="5"/>
    </row>
    <row r="35" spans="2:6">
      <c r="C35" s="1"/>
    </row>
    <row r="36" spans="2:6">
      <c r="C36" s="1"/>
    </row>
    <row r="37" spans="2:6">
      <c r="C37" s="1"/>
    </row>
    <row r="38" spans="2:6">
      <c r="C38" s="1"/>
    </row>
    <row r="39" spans="2:6">
      <c r="C39" s="1"/>
    </row>
  </sheetData>
  <sheetProtection selectLockedCells="1"/>
  <dataConsolidate/>
  <dataValidations count="2">
    <dataValidation type="list" showInputMessage="1" showErrorMessage="1" sqref="E1 E4:E23">
      <formula1>"0,1,2,3,4,5,6,7,8,9"</formula1>
    </dataValidation>
    <dataValidation type="list" allowBlank="1" showInputMessage="1" showErrorMessage="1" sqref="A4:A23">
      <formula1>"Connait,Comprend,Applique,Analyse,Produit,Evalue"</formula1>
    </dataValidation>
  </dataValidations>
  <printOptions horizontalCentered="1" verticalCentered="1"/>
  <pageMargins left="0.59055118110236227" right="0.59055118110236227" top="0.98425196850393704" bottom="0.98425196850393704" header="0.51181102362204722" footer="0.51181102362204722"/>
  <pageSetup paperSize="9" scale="59" orientation="landscape" r:id="rId1"/>
  <headerFooter alignWithMargins="0">
    <oddHeader>&amp;L&amp;"ETML L,Normal"ETML&amp;R&amp;G</oddHeader>
    <oddFooter>&amp;L&amp;"Comic Sans MS,Normal"&amp;D&amp;C&amp;"Century Gothic,Normal"&amp;F - &amp;A&amp;R&amp;"Century Gothic,Normal"&amp;P/&amp;N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M39"/>
  <sheetViews>
    <sheetView zoomScaleNormal="100" workbookViewId="0">
      <selection activeCell="B15" sqref="B15"/>
    </sheetView>
  </sheetViews>
  <sheetFormatPr defaultColWidth="11.375" defaultRowHeight="15"/>
  <cols>
    <col min="1" max="1" width="15" style="4" customWidth="1"/>
    <col min="2" max="2" width="26.625" style="5" customWidth="1"/>
    <col min="3" max="3" width="26.625" style="7" customWidth="1"/>
    <col min="4" max="4" width="26.625" style="3" customWidth="1"/>
    <col min="5" max="5" width="5.625" style="3" customWidth="1"/>
    <col min="6" max="6" width="26.625" style="6" customWidth="1"/>
    <col min="7" max="7" width="26.625" style="1" customWidth="1"/>
    <col min="8" max="8" width="25.625" style="1" customWidth="1"/>
    <col min="9" max="9" width="26.625" style="1" customWidth="1"/>
    <col min="10" max="10" width="25.625" style="1" customWidth="1"/>
    <col min="11" max="11" width="10.5" style="1" customWidth="1"/>
    <col min="12" max="16384" width="11.375" style="1"/>
  </cols>
  <sheetData>
    <row r="1" spans="1:13" ht="42" customHeight="1">
      <c r="A1" s="45" t="s">
        <v>3</v>
      </c>
      <c r="B1" s="21" t="s">
        <v>71</v>
      </c>
      <c r="C1" s="21" t="s">
        <v>12</v>
      </c>
      <c r="D1" s="47" t="s">
        <v>10</v>
      </c>
      <c r="E1" s="46">
        <v>1</v>
      </c>
      <c r="F1" s="22"/>
      <c r="G1" s="23"/>
      <c r="H1" s="23"/>
      <c r="I1" s="24"/>
    </row>
    <row r="2" spans="1:13" ht="17.25" thickBot="1">
      <c r="A2" s="61"/>
      <c r="B2" s="25"/>
      <c r="C2" s="25"/>
      <c r="D2" s="26"/>
      <c r="E2" s="48"/>
      <c r="F2" s="27"/>
      <c r="G2" s="28"/>
      <c r="H2" s="28"/>
      <c r="I2" s="29"/>
    </row>
    <row r="3" spans="1:13" ht="28.5">
      <c r="A3" s="30" t="s">
        <v>5</v>
      </c>
      <c r="B3" s="31" t="s">
        <v>8</v>
      </c>
      <c r="C3" s="32" t="s">
        <v>6</v>
      </c>
      <c r="D3" s="32" t="s">
        <v>7</v>
      </c>
      <c r="E3" s="32" t="s">
        <v>4</v>
      </c>
      <c r="F3" s="33" t="s">
        <v>19</v>
      </c>
      <c r="G3" s="33" t="s">
        <v>20</v>
      </c>
      <c r="H3" s="33" t="s">
        <v>22</v>
      </c>
      <c r="I3" s="34" t="s">
        <v>21</v>
      </c>
      <c r="L3" s="2"/>
      <c r="M3" s="2"/>
    </row>
    <row r="4" spans="1:13">
      <c r="A4" s="35" t="s">
        <v>43</v>
      </c>
      <c r="B4" s="36" t="s">
        <v>75</v>
      </c>
      <c r="C4" s="36" t="s">
        <v>76</v>
      </c>
      <c r="D4" s="37" t="s">
        <v>77</v>
      </c>
      <c r="E4" s="38">
        <v>2</v>
      </c>
      <c r="F4" s="37" t="s">
        <v>78</v>
      </c>
      <c r="G4" s="37" t="s">
        <v>79</v>
      </c>
      <c r="H4" s="37" t="s">
        <v>80</v>
      </c>
      <c r="I4" s="39" t="s">
        <v>45</v>
      </c>
      <c r="L4" s="2"/>
      <c r="M4" s="2"/>
    </row>
    <row r="5" spans="1:13">
      <c r="A5" s="40" t="s">
        <v>43</v>
      </c>
      <c r="B5" s="41" t="s">
        <v>81</v>
      </c>
      <c r="C5" s="41" t="s">
        <v>76</v>
      </c>
      <c r="D5" s="42" t="s">
        <v>82</v>
      </c>
      <c r="E5" s="43">
        <v>2</v>
      </c>
      <c r="F5" s="42">
        <v>1</v>
      </c>
      <c r="G5" s="42">
        <v>0.75</v>
      </c>
      <c r="H5" s="42">
        <v>0.5</v>
      </c>
      <c r="I5" s="44" t="s">
        <v>83</v>
      </c>
      <c r="L5" s="2"/>
      <c r="M5" s="2"/>
    </row>
    <row r="6" spans="1:13">
      <c r="A6" s="35" t="s">
        <v>43</v>
      </c>
      <c r="B6" s="36" t="s">
        <v>84</v>
      </c>
      <c r="C6" s="36" t="s">
        <v>76</v>
      </c>
      <c r="D6" s="37" t="s">
        <v>85</v>
      </c>
      <c r="E6" s="38">
        <v>1</v>
      </c>
      <c r="F6" s="37">
        <v>1</v>
      </c>
      <c r="G6" s="37">
        <v>0.75</v>
      </c>
      <c r="H6" s="37">
        <v>0.5</v>
      </c>
      <c r="I6" s="39" t="s">
        <v>83</v>
      </c>
      <c r="L6" s="2"/>
      <c r="M6" s="2"/>
    </row>
    <row r="7" spans="1:13" ht="30">
      <c r="A7" s="40" t="s">
        <v>43</v>
      </c>
      <c r="B7" s="41" t="s">
        <v>86</v>
      </c>
      <c r="C7" s="41" t="s">
        <v>76</v>
      </c>
      <c r="D7" s="42" t="s">
        <v>87</v>
      </c>
      <c r="E7" s="43">
        <v>2</v>
      </c>
      <c r="F7" s="42">
        <v>1</v>
      </c>
      <c r="G7" s="42">
        <v>0.75</v>
      </c>
      <c r="H7" s="42">
        <v>0.5</v>
      </c>
      <c r="I7" s="44" t="s">
        <v>83</v>
      </c>
      <c r="L7" s="2"/>
      <c r="M7" s="2"/>
    </row>
    <row r="8" spans="1:13" ht="25.5">
      <c r="A8" s="35" t="s">
        <v>43</v>
      </c>
      <c r="B8" s="36" t="s">
        <v>88</v>
      </c>
      <c r="C8" s="36" t="s">
        <v>88</v>
      </c>
      <c r="D8" s="37" t="s">
        <v>89</v>
      </c>
      <c r="E8" s="38">
        <v>1</v>
      </c>
      <c r="F8" s="37">
        <v>1</v>
      </c>
      <c r="G8" s="37">
        <v>0.75</v>
      </c>
      <c r="H8" s="37">
        <v>0.5</v>
      </c>
      <c r="I8" s="39" t="s">
        <v>83</v>
      </c>
      <c r="L8" s="2"/>
      <c r="M8" s="2"/>
    </row>
    <row r="9" spans="1:13" ht="30">
      <c r="A9" s="40" t="s">
        <v>43</v>
      </c>
      <c r="B9" s="41" t="s">
        <v>72</v>
      </c>
      <c r="C9" s="41" t="s">
        <v>74</v>
      </c>
      <c r="D9" s="42" t="s">
        <v>73</v>
      </c>
      <c r="E9" s="43">
        <v>1</v>
      </c>
      <c r="F9" s="42" t="s">
        <v>65</v>
      </c>
      <c r="G9" s="42" t="s">
        <v>66</v>
      </c>
      <c r="H9" s="42" t="s">
        <v>67</v>
      </c>
      <c r="I9" s="44" t="s">
        <v>45</v>
      </c>
    </row>
    <row r="10" spans="1:13">
      <c r="A10" s="35"/>
      <c r="B10" s="36"/>
      <c r="C10" s="36"/>
      <c r="D10" s="37"/>
      <c r="E10" s="38"/>
      <c r="F10" s="37"/>
      <c r="G10" s="37"/>
      <c r="H10" s="37"/>
      <c r="I10" s="39"/>
    </row>
    <row r="11" spans="1:13">
      <c r="A11" s="40"/>
      <c r="B11" s="41"/>
      <c r="C11" s="41"/>
      <c r="D11" s="42"/>
      <c r="E11" s="43"/>
      <c r="F11" s="42"/>
      <c r="G11" s="42"/>
      <c r="H11" s="42"/>
      <c r="I11" s="44"/>
    </row>
    <row r="12" spans="1:13">
      <c r="A12" s="35"/>
      <c r="B12" s="36"/>
      <c r="C12" s="36"/>
      <c r="D12" s="37"/>
      <c r="E12" s="38"/>
      <c r="F12" s="37"/>
      <c r="G12" s="37"/>
      <c r="H12" s="37"/>
      <c r="I12" s="39"/>
    </row>
    <row r="13" spans="1:13">
      <c r="A13" s="40"/>
      <c r="B13" s="41"/>
      <c r="C13" s="41"/>
      <c r="D13" s="42"/>
      <c r="E13" s="43"/>
      <c r="F13" s="42"/>
      <c r="G13" s="42"/>
      <c r="H13" s="42"/>
      <c r="I13" s="44"/>
    </row>
    <row r="14" spans="1:13">
      <c r="A14" s="35"/>
      <c r="B14" s="36"/>
      <c r="C14" s="36"/>
      <c r="D14" s="37"/>
      <c r="E14" s="38"/>
      <c r="F14" s="37"/>
      <c r="G14" s="37"/>
      <c r="H14" s="37"/>
      <c r="I14" s="39"/>
    </row>
    <row r="15" spans="1:13">
      <c r="A15" s="40"/>
      <c r="B15" s="41"/>
      <c r="C15" s="41"/>
      <c r="D15" s="42"/>
      <c r="E15" s="43"/>
      <c r="F15" s="42"/>
      <c r="G15" s="42"/>
      <c r="H15" s="42"/>
      <c r="I15" s="44"/>
    </row>
    <row r="16" spans="1:13">
      <c r="A16" s="35"/>
      <c r="B16" s="36"/>
      <c r="C16" s="36"/>
      <c r="D16" s="37"/>
      <c r="E16" s="38"/>
      <c r="F16" s="37"/>
      <c r="G16" s="37"/>
      <c r="H16" s="37"/>
      <c r="I16" s="39"/>
    </row>
    <row r="17" spans="1:9">
      <c r="A17" s="40"/>
      <c r="B17" s="41"/>
      <c r="C17" s="41"/>
      <c r="D17" s="42"/>
      <c r="E17" s="43"/>
      <c r="F17" s="42"/>
      <c r="G17" s="42"/>
      <c r="H17" s="42"/>
      <c r="I17" s="44"/>
    </row>
    <row r="18" spans="1:9">
      <c r="A18" s="35"/>
      <c r="B18" s="36"/>
      <c r="C18" s="36"/>
      <c r="D18" s="37"/>
      <c r="E18" s="38"/>
      <c r="F18" s="37"/>
      <c r="G18" s="37"/>
      <c r="H18" s="37"/>
      <c r="I18" s="39"/>
    </row>
    <row r="19" spans="1:9">
      <c r="A19" s="40"/>
      <c r="B19" s="41"/>
      <c r="C19" s="41"/>
      <c r="D19" s="42"/>
      <c r="E19" s="43"/>
      <c r="F19" s="42"/>
      <c r="G19" s="42"/>
      <c r="H19" s="42"/>
      <c r="I19" s="44"/>
    </row>
    <row r="20" spans="1:9">
      <c r="A20" s="35"/>
      <c r="B20" s="36"/>
      <c r="C20" s="36"/>
      <c r="D20" s="37"/>
      <c r="E20" s="38"/>
      <c r="F20" s="37"/>
      <c r="G20" s="37"/>
      <c r="H20" s="37"/>
      <c r="I20" s="39"/>
    </row>
    <row r="21" spans="1:9">
      <c r="A21" s="40"/>
      <c r="B21" s="41"/>
      <c r="C21" s="41"/>
      <c r="D21" s="42"/>
      <c r="E21" s="43"/>
      <c r="F21" s="42"/>
      <c r="G21" s="42"/>
      <c r="H21" s="42"/>
      <c r="I21" s="44"/>
    </row>
    <row r="22" spans="1:9">
      <c r="A22" s="35"/>
      <c r="B22" s="36"/>
      <c r="C22" s="36"/>
      <c r="D22" s="37"/>
      <c r="E22" s="38"/>
      <c r="F22" s="37"/>
      <c r="G22" s="37"/>
      <c r="H22" s="37"/>
      <c r="I22" s="39"/>
    </row>
    <row r="23" spans="1:9" ht="15.75" thickBot="1">
      <c r="A23" s="87"/>
      <c r="B23" s="88"/>
      <c r="C23" s="88"/>
      <c r="D23" s="89"/>
      <c r="E23" s="90"/>
      <c r="F23" s="89"/>
      <c r="G23" s="89"/>
      <c r="H23" s="89"/>
      <c r="I23" s="91"/>
    </row>
    <row r="24" spans="1:9">
      <c r="A24" s="1"/>
      <c r="B24" s="1"/>
      <c r="C24" s="1"/>
      <c r="D24" s="1"/>
      <c r="F24" s="1"/>
    </row>
    <row r="25" spans="1:9">
      <c r="A25" s="1"/>
      <c r="B25" s="1"/>
      <c r="C25" s="1"/>
      <c r="D25" s="1"/>
      <c r="F25" s="1"/>
    </row>
    <row r="26" spans="1:9">
      <c r="A26" s="1"/>
      <c r="B26" s="1"/>
      <c r="C26" s="1"/>
      <c r="D26" s="1"/>
      <c r="F26" s="1"/>
    </row>
    <row r="27" spans="1:9">
      <c r="A27" s="1"/>
      <c r="B27" s="1"/>
      <c r="C27" s="1"/>
      <c r="D27" s="1"/>
      <c r="F27" s="1"/>
    </row>
    <row r="28" spans="1:9">
      <c r="C28" s="5"/>
      <c r="D28" s="5"/>
      <c r="F28" s="1"/>
    </row>
    <row r="29" spans="1:9">
      <c r="C29" s="5"/>
      <c r="D29" s="5"/>
      <c r="F29" s="1"/>
    </row>
    <row r="30" spans="1:9">
      <c r="C30" s="5"/>
      <c r="D30" s="5"/>
      <c r="F30" s="1"/>
    </row>
    <row r="31" spans="1:9">
      <c r="B31" s="7"/>
      <c r="D31" s="7"/>
      <c r="F31" s="1"/>
    </row>
    <row r="32" spans="1:9">
      <c r="B32" s="7"/>
      <c r="D32" s="7"/>
      <c r="F32" s="1"/>
    </row>
    <row r="33" spans="2:6">
      <c r="B33" s="7"/>
      <c r="D33" s="7"/>
      <c r="F33" s="1"/>
    </row>
    <row r="34" spans="2:6">
      <c r="C34" s="5"/>
      <c r="D34" s="5"/>
    </row>
    <row r="35" spans="2:6">
      <c r="C35" s="1"/>
    </row>
    <row r="36" spans="2:6">
      <c r="C36" s="1"/>
    </row>
    <row r="37" spans="2:6">
      <c r="C37" s="1"/>
    </row>
    <row r="38" spans="2:6">
      <c r="C38" s="1"/>
    </row>
    <row r="39" spans="2:6">
      <c r="C39" s="1"/>
    </row>
  </sheetData>
  <sheetProtection selectLockedCells="1"/>
  <dataConsolidate/>
  <dataValidations count="2">
    <dataValidation type="list" showInputMessage="1" showErrorMessage="1" sqref="E1 E4:E23">
      <formula1>"0,1,2,3,4,5,6,7,8,9"</formula1>
    </dataValidation>
    <dataValidation type="list" allowBlank="1" showInputMessage="1" showErrorMessage="1" sqref="A4:A23">
      <formula1>"Connait,Comprend,Applique,Analyse,Produit,Evalue"</formula1>
    </dataValidation>
  </dataValidations>
  <printOptions horizontalCentered="1" verticalCentered="1"/>
  <pageMargins left="0.59055118110236227" right="0.59055118110236227" top="0.98425196850393704" bottom="0.98425196850393704" header="0.51181102362204722" footer="0.51181102362204722"/>
  <pageSetup paperSize="9" scale="59" orientation="landscape" r:id="rId1"/>
  <headerFooter alignWithMargins="0">
    <oddHeader>&amp;L&amp;"ETML L,Normal"ETML&amp;R&amp;G</oddHeader>
    <oddFooter>&amp;L&amp;"Comic Sans MS,Normal"&amp;D&amp;C&amp;"Century Gothic,Normal"&amp;F - &amp;A&amp;R&amp;"Century Gothic,Normal"&amp;P/&amp;N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pageSetUpPr fitToPage="1"/>
  </sheetPr>
  <dimension ref="A1:M39"/>
  <sheetViews>
    <sheetView zoomScaleNormal="100" workbookViewId="0">
      <selection activeCell="B2" sqref="B2"/>
    </sheetView>
  </sheetViews>
  <sheetFormatPr defaultColWidth="11.375" defaultRowHeight="15"/>
  <cols>
    <col min="1" max="1" width="15" style="4" customWidth="1"/>
    <col min="2" max="2" width="26.625" style="5" customWidth="1"/>
    <col min="3" max="3" width="26.625" style="7" customWidth="1"/>
    <col min="4" max="4" width="26.625" style="3" customWidth="1"/>
    <col min="5" max="5" width="5.625" style="3" customWidth="1"/>
    <col min="6" max="6" width="26.625" style="6" customWidth="1"/>
    <col min="7" max="7" width="26.625" style="1" customWidth="1"/>
    <col min="8" max="8" width="25.625" style="1" customWidth="1"/>
    <col min="9" max="9" width="26.625" style="1" customWidth="1"/>
    <col min="10" max="10" width="25.625" style="1" customWidth="1"/>
    <col min="11" max="11" width="10.5" style="1" customWidth="1"/>
    <col min="12" max="16384" width="11.375" style="1"/>
  </cols>
  <sheetData>
    <row r="1" spans="1:13" ht="42" customHeight="1">
      <c r="A1" s="45" t="s">
        <v>3</v>
      </c>
      <c r="B1" s="21" t="s">
        <v>119</v>
      </c>
      <c r="C1" s="21" t="s">
        <v>12</v>
      </c>
      <c r="D1" s="47" t="s">
        <v>10</v>
      </c>
      <c r="E1" s="46">
        <v>2</v>
      </c>
      <c r="F1" s="22"/>
      <c r="G1" s="23"/>
      <c r="H1" s="23"/>
      <c r="I1" s="24"/>
    </row>
    <row r="2" spans="1:13" ht="17.25" thickBot="1">
      <c r="A2" s="61"/>
      <c r="B2" s="25"/>
      <c r="C2" s="25"/>
      <c r="D2" s="26"/>
      <c r="E2" s="48"/>
      <c r="F2" s="27"/>
      <c r="G2" s="28"/>
      <c r="H2" s="28"/>
      <c r="I2" s="29"/>
    </row>
    <row r="3" spans="1:13" ht="28.5">
      <c r="A3" s="30" t="s">
        <v>5</v>
      </c>
      <c r="B3" s="31" t="s">
        <v>8</v>
      </c>
      <c r="C3" s="32" t="s">
        <v>6</v>
      </c>
      <c r="D3" s="32" t="s">
        <v>7</v>
      </c>
      <c r="E3" s="32" t="s">
        <v>4</v>
      </c>
      <c r="F3" s="33" t="s">
        <v>19</v>
      </c>
      <c r="G3" s="33" t="s">
        <v>20</v>
      </c>
      <c r="H3" s="33" t="s">
        <v>22</v>
      </c>
      <c r="I3" s="34" t="s">
        <v>21</v>
      </c>
      <c r="L3" s="2"/>
      <c r="M3" s="2"/>
    </row>
    <row r="4" spans="1:13" ht="30">
      <c r="A4" s="35" t="s">
        <v>43</v>
      </c>
      <c r="B4" s="36" t="s">
        <v>90</v>
      </c>
      <c r="C4" s="36" t="s">
        <v>103</v>
      </c>
      <c r="D4" s="37" t="s">
        <v>56</v>
      </c>
      <c r="E4" s="38">
        <v>1</v>
      </c>
      <c r="F4" s="37" t="s">
        <v>65</v>
      </c>
      <c r="G4" s="37" t="s">
        <v>66</v>
      </c>
      <c r="H4" s="37" t="s">
        <v>67</v>
      </c>
      <c r="I4" s="39" t="s">
        <v>45</v>
      </c>
      <c r="L4" s="2"/>
      <c r="M4" s="2"/>
    </row>
    <row r="5" spans="1:13" ht="30">
      <c r="A5" s="40" t="s">
        <v>43</v>
      </c>
      <c r="B5" s="41" t="s">
        <v>104</v>
      </c>
      <c r="C5" s="41" t="s">
        <v>105</v>
      </c>
      <c r="D5" s="42" t="s">
        <v>56</v>
      </c>
      <c r="E5" s="43">
        <v>1</v>
      </c>
      <c r="F5" s="42" t="s">
        <v>65</v>
      </c>
      <c r="G5" s="42" t="s">
        <v>66</v>
      </c>
      <c r="H5" s="42" t="s">
        <v>67</v>
      </c>
      <c r="I5" s="44" t="s">
        <v>45</v>
      </c>
      <c r="L5" s="2"/>
      <c r="M5" s="2"/>
    </row>
    <row r="6" spans="1:13" ht="30">
      <c r="A6" s="35" t="s">
        <v>43</v>
      </c>
      <c r="B6" s="36" t="s">
        <v>106</v>
      </c>
      <c r="C6" s="36" t="s">
        <v>107</v>
      </c>
      <c r="D6" s="37" t="s">
        <v>56</v>
      </c>
      <c r="E6" s="38">
        <v>1</v>
      </c>
      <c r="F6" s="37" t="s">
        <v>65</v>
      </c>
      <c r="G6" s="37" t="s">
        <v>66</v>
      </c>
      <c r="H6" s="37" t="s">
        <v>67</v>
      </c>
      <c r="I6" s="39" t="s">
        <v>45</v>
      </c>
      <c r="L6" s="2"/>
      <c r="M6" s="2"/>
    </row>
    <row r="7" spans="1:13" ht="30">
      <c r="A7" s="40" t="s">
        <v>43</v>
      </c>
      <c r="B7" s="41" t="s">
        <v>108</v>
      </c>
      <c r="C7" s="41" t="s">
        <v>109</v>
      </c>
      <c r="D7" s="42" t="s">
        <v>56</v>
      </c>
      <c r="E7" s="43">
        <v>1</v>
      </c>
      <c r="F7" s="42" t="s">
        <v>65</v>
      </c>
      <c r="G7" s="42" t="s">
        <v>66</v>
      </c>
      <c r="H7" s="42" t="s">
        <v>67</v>
      </c>
      <c r="I7" s="44" t="s">
        <v>45</v>
      </c>
      <c r="L7" s="2"/>
      <c r="M7" s="2"/>
    </row>
    <row r="8" spans="1:13" ht="30">
      <c r="A8" s="35" t="s">
        <v>43</v>
      </c>
      <c r="B8" s="36" t="s">
        <v>110</v>
      </c>
      <c r="C8" s="36" t="s">
        <v>111</v>
      </c>
      <c r="D8" s="37" t="s">
        <v>117</v>
      </c>
      <c r="E8" s="38">
        <v>1</v>
      </c>
      <c r="F8" s="37" t="s">
        <v>65</v>
      </c>
      <c r="G8" s="37" t="s">
        <v>66</v>
      </c>
      <c r="H8" s="37" t="s">
        <v>67</v>
      </c>
      <c r="I8" s="39" t="s">
        <v>45</v>
      </c>
      <c r="L8" s="2"/>
      <c r="M8" s="2"/>
    </row>
    <row r="9" spans="1:13">
      <c r="A9" s="40"/>
      <c r="B9" s="41"/>
      <c r="C9" s="41"/>
      <c r="D9" s="42"/>
      <c r="E9" s="43"/>
      <c r="F9" s="42"/>
      <c r="G9" s="42"/>
      <c r="H9" s="42"/>
      <c r="I9" s="44"/>
    </row>
    <row r="10" spans="1:13">
      <c r="A10" s="35"/>
      <c r="B10" s="36"/>
      <c r="C10" s="36"/>
      <c r="D10" s="37"/>
      <c r="E10" s="38"/>
      <c r="F10" s="37"/>
      <c r="G10" s="37"/>
      <c r="H10" s="37"/>
      <c r="I10" s="39"/>
    </row>
    <row r="11" spans="1:13">
      <c r="A11" s="40"/>
      <c r="B11" s="41"/>
      <c r="C11" s="41"/>
      <c r="D11" s="42"/>
      <c r="E11" s="43"/>
      <c r="F11" s="42"/>
      <c r="G11" s="42"/>
      <c r="H11" s="42"/>
      <c r="I11" s="44"/>
    </row>
    <row r="12" spans="1:13">
      <c r="A12" s="35"/>
      <c r="B12" s="36"/>
      <c r="C12" s="36"/>
      <c r="D12" s="37"/>
      <c r="E12" s="38"/>
      <c r="F12" s="37"/>
      <c r="G12" s="37"/>
      <c r="H12" s="37"/>
      <c r="I12" s="39"/>
    </row>
    <row r="13" spans="1:13">
      <c r="A13" s="40"/>
      <c r="B13" s="41"/>
      <c r="C13" s="41"/>
      <c r="D13" s="42"/>
      <c r="E13" s="43"/>
      <c r="F13" s="42"/>
      <c r="G13" s="42"/>
      <c r="H13" s="42"/>
      <c r="I13" s="44"/>
    </row>
    <row r="14" spans="1:13">
      <c r="A14" s="35"/>
      <c r="B14" s="36"/>
      <c r="C14" s="36"/>
      <c r="D14" s="37"/>
      <c r="E14" s="38"/>
      <c r="F14" s="37"/>
      <c r="G14" s="37"/>
      <c r="H14" s="37"/>
      <c r="I14" s="39"/>
    </row>
    <row r="15" spans="1:13">
      <c r="A15" s="40"/>
      <c r="B15" s="41"/>
      <c r="C15" s="41"/>
      <c r="D15" s="42"/>
      <c r="E15" s="43"/>
      <c r="F15" s="42"/>
      <c r="G15" s="42"/>
      <c r="H15" s="42"/>
      <c r="I15" s="44"/>
    </row>
    <row r="16" spans="1:13">
      <c r="A16" s="35"/>
      <c r="B16" s="36"/>
      <c r="C16" s="36"/>
      <c r="D16" s="37"/>
      <c r="E16" s="38"/>
      <c r="F16" s="37"/>
      <c r="G16" s="37"/>
      <c r="H16" s="37"/>
      <c r="I16" s="39"/>
    </row>
    <row r="17" spans="1:9">
      <c r="A17" s="40"/>
      <c r="B17" s="41"/>
      <c r="C17" s="41"/>
      <c r="D17" s="42"/>
      <c r="E17" s="43"/>
      <c r="F17" s="42"/>
      <c r="G17" s="42"/>
      <c r="H17" s="42"/>
      <c r="I17" s="44"/>
    </row>
    <row r="18" spans="1:9">
      <c r="A18" s="35"/>
      <c r="B18" s="36"/>
      <c r="C18" s="36"/>
      <c r="D18" s="37"/>
      <c r="E18" s="38"/>
      <c r="F18" s="37"/>
      <c r="G18" s="37"/>
      <c r="H18" s="37"/>
      <c r="I18" s="39"/>
    </row>
    <row r="19" spans="1:9">
      <c r="A19" s="40"/>
      <c r="B19" s="41"/>
      <c r="C19" s="41"/>
      <c r="D19" s="42"/>
      <c r="E19" s="43"/>
      <c r="F19" s="42"/>
      <c r="G19" s="42"/>
      <c r="H19" s="42"/>
      <c r="I19" s="44"/>
    </row>
    <row r="20" spans="1:9">
      <c r="A20" s="35"/>
      <c r="B20" s="36"/>
      <c r="C20" s="36"/>
      <c r="D20" s="37"/>
      <c r="E20" s="38"/>
      <c r="F20" s="37"/>
      <c r="G20" s="37"/>
      <c r="H20" s="37"/>
      <c r="I20" s="39"/>
    </row>
    <row r="21" spans="1:9">
      <c r="A21" s="40"/>
      <c r="B21" s="41"/>
      <c r="C21" s="41"/>
      <c r="D21" s="42"/>
      <c r="E21" s="43"/>
      <c r="F21" s="42"/>
      <c r="G21" s="42"/>
      <c r="H21" s="42"/>
      <c r="I21" s="44"/>
    </row>
    <row r="22" spans="1:9">
      <c r="A22" s="35"/>
      <c r="B22" s="36"/>
      <c r="C22" s="36"/>
      <c r="D22" s="37"/>
      <c r="E22" s="38"/>
      <c r="F22" s="37"/>
      <c r="G22" s="37"/>
      <c r="H22" s="37"/>
      <c r="I22" s="39"/>
    </row>
    <row r="23" spans="1:9" ht="15.75" thickBot="1">
      <c r="A23" s="87"/>
      <c r="B23" s="88"/>
      <c r="C23" s="88"/>
      <c r="D23" s="89"/>
      <c r="E23" s="90"/>
      <c r="F23" s="89"/>
      <c r="G23" s="89"/>
      <c r="H23" s="89"/>
      <c r="I23" s="91"/>
    </row>
    <row r="24" spans="1:9">
      <c r="A24" s="1"/>
      <c r="B24" s="1"/>
      <c r="C24" s="1"/>
      <c r="D24" s="1"/>
      <c r="F24" s="1"/>
    </row>
    <row r="25" spans="1:9">
      <c r="A25" s="1"/>
      <c r="B25" s="1"/>
      <c r="C25" s="1"/>
      <c r="D25" s="1"/>
      <c r="F25" s="1"/>
    </row>
    <row r="26" spans="1:9">
      <c r="A26" s="1"/>
      <c r="B26" s="1"/>
      <c r="C26" s="1"/>
      <c r="D26" s="1"/>
      <c r="F26" s="1"/>
    </row>
    <row r="27" spans="1:9">
      <c r="A27" s="1"/>
      <c r="B27" s="1"/>
      <c r="C27" s="1"/>
      <c r="D27" s="1"/>
      <c r="F27" s="1"/>
    </row>
    <row r="28" spans="1:9">
      <c r="C28" s="5"/>
      <c r="D28" s="5"/>
      <c r="F28" s="1"/>
    </row>
    <row r="29" spans="1:9">
      <c r="C29" s="5"/>
      <c r="D29" s="5"/>
      <c r="F29" s="1"/>
    </row>
    <row r="30" spans="1:9">
      <c r="C30" s="5"/>
      <c r="D30" s="5"/>
      <c r="F30" s="1"/>
    </row>
    <row r="31" spans="1:9">
      <c r="B31" s="7"/>
      <c r="D31" s="7"/>
      <c r="F31" s="1"/>
    </row>
    <row r="32" spans="1:9">
      <c r="B32" s="7"/>
      <c r="D32" s="7"/>
      <c r="F32" s="1"/>
    </row>
    <row r="33" spans="2:6">
      <c r="B33" s="7"/>
      <c r="D33" s="7"/>
      <c r="F33" s="1"/>
    </row>
    <row r="34" spans="2:6">
      <c r="C34" s="5"/>
      <c r="D34" s="5"/>
    </row>
    <row r="35" spans="2:6">
      <c r="C35" s="1"/>
    </row>
    <row r="36" spans="2:6">
      <c r="C36" s="1"/>
    </row>
    <row r="37" spans="2:6">
      <c r="C37" s="1"/>
    </row>
    <row r="38" spans="2:6">
      <c r="C38" s="1"/>
    </row>
    <row r="39" spans="2:6">
      <c r="C39" s="1"/>
    </row>
  </sheetData>
  <sheetProtection selectLockedCells="1"/>
  <dataConsolidate/>
  <dataValidations count="2">
    <dataValidation type="list" showInputMessage="1" showErrorMessage="1" sqref="E1 E4:E23">
      <formula1>"0,1,2,3,4,5,6,7,8,9"</formula1>
    </dataValidation>
    <dataValidation type="list" allowBlank="1" showInputMessage="1" showErrorMessage="1" sqref="A4:A23">
      <formula1>"Connait,Comprend,Applique,Analyse,Produit,Evalue"</formula1>
    </dataValidation>
  </dataValidations>
  <printOptions horizontalCentered="1" verticalCentered="1"/>
  <pageMargins left="0.59055118110236227" right="0.59055118110236227" top="0.98425196850393704" bottom="0.98425196850393704" header="0.51181102362204722" footer="0.51181102362204722"/>
  <pageSetup paperSize="9" scale="59" orientation="landscape" r:id="rId1"/>
  <headerFooter alignWithMargins="0">
    <oddHeader>&amp;L&amp;"ETML L,Normal"ETML&amp;R&amp;G</oddHeader>
    <oddFooter>&amp;L&amp;"Comic Sans MS,Normal"&amp;D&amp;C&amp;"Century Gothic,Normal"&amp;F - &amp;A&amp;R&amp;"Century Gothic,Normal"&amp;P/&amp;N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47"/>
  <sheetViews>
    <sheetView topLeftCell="A10" zoomScaleNormal="100" workbookViewId="0">
      <selection sqref="A1:G1048576"/>
    </sheetView>
  </sheetViews>
  <sheetFormatPr defaultColWidth="11" defaultRowHeight="16.5"/>
  <cols>
    <col min="1" max="1" width="45.625" style="101" customWidth="1"/>
    <col min="2" max="2" width="8.625" style="126" customWidth="1"/>
    <col min="3" max="3" width="45.625" style="93" customWidth="1"/>
    <col min="4" max="4" width="10.625" style="93" customWidth="1"/>
    <col min="5" max="6" width="45.625" style="93" customWidth="1"/>
    <col min="7" max="7" width="0" style="119" hidden="1" customWidth="1"/>
  </cols>
  <sheetData>
    <row r="1" spans="1:7" ht="24.95" customHeight="1">
      <c r="A1" s="100" t="str">
        <f>Intro!A1</f>
        <v>P_Réseau</v>
      </c>
      <c r="B1" s="125"/>
      <c r="C1" s="92" t="str">
        <f>Intro!A1</f>
        <v>P_Réseau</v>
      </c>
      <c r="D1" s="92"/>
      <c r="E1" s="85" t="str">
        <f>Intro!C13</f>
        <v/>
      </c>
      <c r="F1" s="86" t="str">
        <f>Intro!D13</f>
        <v/>
      </c>
      <c r="G1" s="118"/>
    </row>
    <row r="2" spans="1:7" ht="20.25">
      <c r="A2" s="101" t="str">
        <f>Intro!A3 &amp; Intro!B3</f>
        <v xml:space="preserve">Correction : </v>
      </c>
      <c r="C2" s="93" t="str">
        <f>Intro!A2</f>
        <v>Description :  Evaluation projet 2 (LDAP)</v>
      </c>
      <c r="E2" s="83">
        <f>MROUND((((D16*B4)+(D21*B17)+(D30*B22)+(D39*B31)+(D47*B40))/SUM(B4,B17,B22,B31,B40))+ErrCorrection,0.1)</f>
        <v>1</v>
      </c>
      <c r="F2" s="84">
        <f>MROUND(E2,0.5)</f>
        <v>1</v>
      </c>
    </row>
    <row r="3" spans="1:7" s="94" customFormat="1" ht="28.5">
      <c r="A3" s="102" t="s">
        <v>48</v>
      </c>
      <c r="B3" s="127" t="s">
        <v>4</v>
      </c>
      <c r="C3" s="107" t="s">
        <v>49</v>
      </c>
      <c r="D3" s="107" t="s">
        <v>50</v>
      </c>
      <c r="E3" s="107" t="s">
        <v>51</v>
      </c>
      <c r="F3" s="107" t="s">
        <v>52</v>
      </c>
      <c r="G3" s="120"/>
    </row>
    <row r="4" spans="1:7" s="95" customFormat="1" ht="14.25">
      <c r="A4" s="103" t="str">
        <f>Objectif1!B1</f>
        <v>Rapport</v>
      </c>
      <c r="B4" s="128">
        <f>Objectif1!E1</f>
        <v>2</v>
      </c>
      <c r="C4" s="108" t="str">
        <f>Objectif1!C1</f>
        <v>Mise en forme et construction</v>
      </c>
      <c r="D4" s="108"/>
      <c r="E4" s="108"/>
      <c r="F4" s="108"/>
      <c r="G4" s="121"/>
    </row>
    <row r="5" spans="1:7" s="96" customFormat="1">
      <c r="A5" s="104" t="str">
        <f>Objectif1!B4</f>
        <v>Rendu des documents au format Word et PDF</v>
      </c>
      <c r="B5" s="129">
        <f>Objectif1!E4</f>
        <v>1</v>
      </c>
      <c r="C5" s="109" t="str">
        <f>Objectif1!D4</f>
        <v>Selon CDC</v>
      </c>
      <c r="D5" s="113"/>
      <c r="E5" s="116"/>
      <c r="F5" s="81" t="str">
        <f>IF(COUNT(D5),IF(D5=3,Objectif1!F4,IF(D5=2,Objectif1!G4,IF(D5=1,Objectif1!H4,Objectif1!I4))),"")</f>
        <v/>
      </c>
      <c r="G5" s="122">
        <f t="shared" ref="G5:G14" si="0" xml:space="preserve"> B5 * D5</f>
        <v>0</v>
      </c>
    </row>
    <row r="6" spans="1:7" s="98" customFormat="1">
      <c r="A6" s="105" t="str">
        <f>Objectif1!B5</f>
        <v>Texte justifé et utilisation de la police Verdana</v>
      </c>
      <c r="B6" s="130">
        <f>Objectif1!E5</f>
        <v>1</v>
      </c>
      <c r="C6" s="110" t="str">
        <f>Objectif1!D5</f>
        <v>Selon CDC</v>
      </c>
      <c r="D6" s="114"/>
      <c r="E6" s="117"/>
      <c r="F6" s="97" t="str">
        <f>IF(COUNT(D6),IF(D6=3,Objectif1!F5,IF(D6=2,Objectif1!G5,IF(D6=1,Objectif1!H5,Objectif1!I5))),"")</f>
        <v/>
      </c>
      <c r="G6" s="123">
        <f t="shared" si="0"/>
        <v>0</v>
      </c>
    </row>
    <row r="7" spans="1:7" s="96" customFormat="1">
      <c r="A7" s="104" t="str">
        <f>Objectif1!B6</f>
        <v>Page de garde avec un titre</v>
      </c>
      <c r="B7" s="129">
        <f>Objectif1!E6</f>
        <v>1</v>
      </c>
      <c r="C7" s="109" t="str">
        <f>Objectif1!D6</f>
        <v>Selon CDC</v>
      </c>
      <c r="D7" s="113"/>
      <c r="E7" s="116"/>
      <c r="F7" s="81" t="str">
        <f>IF(COUNT(D7),IF(D7=3,Objectif1!F6,IF(D7=2,Objectif1!G6,IF(D7=1,Objectif1!H6,Objectif1!I6))),"")</f>
        <v/>
      </c>
      <c r="G7" s="122">
        <f t="shared" si="0"/>
        <v>0</v>
      </c>
    </row>
    <row r="8" spans="1:7" s="98" customFormat="1">
      <c r="A8" s="105" t="str">
        <f>Objectif1!B7</f>
        <v xml:space="preserve">Entête et pied de page </v>
      </c>
      <c r="B8" s="130">
        <f>Objectif1!E7</f>
        <v>1</v>
      </c>
      <c r="C8" s="110" t="str">
        <f>Objectif1!D7</f>
        <v>Selon CDC</v>
      </c>
      <c r="D8" s="114"/>
      <c r="E8" s="117"/>
      <c r="F8" s="97" t="str">
        <f>IF(COUNT(D8),IF(D8=3,Objectif1!F7,IF(D8=2,Objectif1!G7,IF(D8=1,Objectif1!H7,Objectif1!I7))),"")</f>
        <v/>
      </c>
      <c r="G8" s="123">
        <f t="shared" si="0"/>
        <v>0</v>
      </c>
    </row>
    <row r="9" spans="1:7" s="96" customFormat="1">
      <c r="A9" s="104" t="str">
        <f>Objectif1!B8</f>
        <v>Table des matières</v>
      </c>
      <c r="B9" s="129">
        <f>Objectif1!E8</f>
        <v>1</v>
      </c>
      <c r="C9" s="109" t="str">
        <f>Objectif1!D8</f>
        <v>Selon CDC</v>
      </c>
      <c r="D9" s="113"/>
      <c r="E9" s="116"/>
      <c r="F9" s="81" t="str">
        <f>IF(COUNT(D9),IF(D9=3,Objectif1!F8,IF(D9=2,Objectif1!G8,IF(D9=1,Objectif1!H8,Objectif1!I8))),"")</f>
        <v/>
      </c>
      <c r="G9" s="122">
        <f t="shared" si="0"/>
        <v>0</v>
      </c>
    </row>
    <row r="10" spans="1:7" s="98" customFormat="1">
      <c r="A10" s="105" t="str">
        <f>Objectif1!B9</f>
        <v>Introduction</v>
      </c>
      <c r="B10" s="130">
        <f>Objectif1!E9</f>
        <v>1</v>
      </c>
      <c r="C10" s="110" t="str">
        <f>Objectif1!D9</f>
        <v>Selon CDC</v>
      </c>
      <c r="D10" s="114"/>
      <c r="E10" s="117"/>
      <c r="F10" s="97" t="str">
        <f>IF(COUNT(D10),IF(D10=3,Objectif1!F9,IF(D10=2,Objectif1!G9,IF(D10=1,Objectif1!H9,Objectif1!I9))),"")</f>
        <v/>
      </c>
      <c r="G10" s="123">
        <f t="shared" si="0"/>
        <v>0</v>
      </c>
    </row>
    <row r="11" spans="1:7" s="96" customFormat="1">
      <c r="A11" s="104" t="str">
        <f>Objectif1!B10</f>
        <v>Réalisation</v>
      </c>
      <c r="B11" s="129">
        <f>Objectif1!E10</f>
        <v>2</v>
      </c>
      <c r="C11" s="109" t="str">
        <f>Objectif1!D10</f>
        <v>Selon CDC</v>
      </c>
      <c r="D11" s="113"/>
      <c r="E11" s="116"/>
      <c r="F11" s="81" t="str">
        <f>IF(COUNT(D11),IF(D11=3,Objectif1!F10,IF(D11=2,Objectif1!G10,IF(D11=1,Objectif1!H10,Objectif1!I10))),"")</f>
        <v/>
      </c>
      <c r="G11" s="122">
        <f t="shared" si="0"/>
        <v>0</v>
      </c>
    </row>
    <row r="12" spans="1:7" s="98" customFormat="1">
      <c r="A12" s="105" t="str">
        <f>Objectif1!B11</f>
        <v>Conclusion</v>
      </c>
      <c r="B12" s="130">
        <f>Objectif1!E11</f>
        <v>1</v>
      </c>
      <c r="C12" s="110" t="str">
        <f>Objectif1!D11</f>
        <v>Selon CDC</v>
      </c>
      <c r="D12" s="114"/>
      <c r="E12" s="117"/>
      <c r="F12" s="97" t="str">
        <f>IF(COUNT(D12),IF(D12=3,Objectif1!F11,IF(D12=2,Objectif1!G11,IF(D12=1,Objectif1!H11,Objectif1!I11))),"")</f>
        <v/>
      </c>
      <c r="G12" s="123">
        <f t="shared" si="0"/>
        <v>0</v>
      </c>
    </row>
    <row r="13" spans="1:7" s="96" customFormat="1">
      <c r="A13" s="104" t="str">
        <f>Objectif1!B12</f>
        <v>Journal de travail</v>
      </c>
      <c r="B13" s="129">
        <f>Objectif1!E12</f>
        <v>1</v>
      </c>
      <c r="C13" s="109" t="str">
        <f>Objectif1!D12</f>
        <v>Selon CDC</v>
      </c>
      <c r="D13" s="113"/>
      <c r="E13" s="116"/>
      <c r="F13" s="81" t="str">
        <f>IF(COUNT(D13),IF(D13=3,Objectif1!F12,IF(D13=2,Objectif1!G12,IF(D13=1,Objectif1!H12,Objectif1!I12))),"")</f>
        <v/>
      </c>
      <c r="G13" s="122">
        <f t="shared" si="0"/>
        <v>0</v>
      </c>
    </row>
    <row r="14" spans="1:7" s="98" customFormat="1">
      <c r="A14" s="105" t="str">
        <f>Objectif1!B13</f>
        <v>Sources</v>
      </c>
      <c r="B14" s="130">
        <f>Objectif1!E13</f>
        <v>1</v>
      </c>
      <c r="C14" s="110" t="str">
        <f>Objectif1!D13</f>
        <v>Selon CDC</v>
      </c>
      <c r="D14" s="114"/>
      <c r="E14" s="117"/>
      <c r="F14" s="97" t="str">
        <f>IF(COUNT(D14),IF(D14=3,Objectif1!F13,IF(D14=2,Objectif1!G13,IF(D14=1,Objectif1!H13,Objectif1!I13))),"")</f>
        <v/>
      </c>
      <c r="G14" s="123">
        <f t="shared" si="0"/>
        <v>0</v>
      </c>
    </row>
    <row r="15" spans="1:7" s="99" customFormat="1" hidden="1">
      <c r="A15" s="106"/>
      <c r="B15" s="131">
        <f>SUM(B5:B14)*3</f>
        <v>33</v>
      </c>
      <c r="C15" s="111" t="s">
        <v>53</v>
      </c>
      <c r="D15" s="111">
        <f>SUM(G5:G14)</f>
        <v>0</v>
      </c>
      <c r="E15" s="111"/>
      <c r="F15" s="111"/>
      <c r="G15" s="124"/>
    </row>
    <row r="16" spans="1:7" s="99" customFormat="1">
      <c r="A16" s="106"/>
      <c r="B16" s="131"/>
      <c r="C16" s="112" t="str">
        <f>"Note de : "&amp;Objectif1!B1</f>
        <v>Note de : Rapport</v>
      </c>
      <c r="D16" s="115">
        <f>MROUND(D15*5/B15+1,0.1)</f>
        <v>1</v>
      </c>
      <c r="E16" s="111"/>
      <c r="F16" s="111"/>
      <c r="G16" s="124"/>
    </row>
    <row r="17" spans="1:7" s="95" customFormat="1" ht="14.25">
      <c r="A17" s="103" t="str">
        <f>Objectif2!B1</f>
        <v>Architecture virtuelle</v>
      </c>
      <c r="B17" s="128">
        <f>Objectif2!E1</f>
        <v>1</v>
      </c>
      <c r="C17" s="108" t="str">
        <f>Objectif2!C1</f>
        <v>Mise en place des 2 VM's</v>
      </c>
      <c r="D17" s="108"/>
      <c r="E17" s="108"/>
      <c r="F17" s="108"/>
      <c r="G17" s="121"/>
    </row>
    <row r="18" spans="1:7" s="98" customFormat="1">
      <c r="A18" s="105" t="str">
        <f>Objectif2!B4</f>
        <v>VM Windows Server 2019</v>
      </c>
      <c r="B18" s="130">
        <f>Objectif2!E4</f>
        <v>1</v>
      </c>
      <c r="C18" s="110" t="str">
        <f>Objectif2!D4</f>
        <v>Selon CDC</v>
      </c>
      <c r="D18" s="114"/>
      <c r="E18" s="117"/>
      <c r="F18" s="97" t="str">
        <f>IF(COUNT(D18),IF(D18=3,Objectif2!F4,IF(D18=2,Objectif2!G4,IF(D18=1,Objectif2!H4,Objectif2!I4))),"")</f>
        <v/>
      </c>
      <c r="G18" s="123">
        <f xml:space="preserve"> B18 * D18</f>
        <v>0</v>
      </c>
    </row>
    <row r="19" spans="1:7" s="96" customFormat="1">
      <c r="A19" s="104" t="str">
        <f>Objectif2!B5</f>
        <v>VM Windows 10</v>
      </c>
      <c r="B19" s="129">
        <f>Objectif2!E5</f>
        <v>1</v>
      </c>
      <c r="C19" s="109" t="str">
        <f>Objectif2!D5</f>
        <v>Selon CDC</v>
      </c>
      <c r="D19" s="113"/>
      <c r="E19" s="116"/>
      <c r="F19" s="81" t="str">
        <f>IF(COUNT(D19),IF(D19=3,Objectif2!F5,IF(D19=2,Objectif2!G5,IF(D19=1,Objectif2!H5,Objectif2!I5))),"")</f>
        <v/>
      </c>
      <c r="G19" s="122">
        <f xml:space="preserve"> B19 * D19</f>
        <v>0</v>
      </c>
    </row>
    <row r="20" spans="1:7" s="99" customFormat="1" hidden="1">
      <c r="A20" s="106"/>
      <c r="B20" s="131">
        <f>SUM(B18:B19)*3</f>
        <v>6</v>
      </c>
      <c r="C20" s="111" t="s">
        <v>53</v>
      </c>
      <c r="D20" s="111">
        <f>SUM(G18:G19)</f>
        <v>0</v>
      </c>
      <c r="E20" s="111"/>
      <c r="F20" s="111"/>
      <c r="G20" s="124"/>
    </row>
    <row r="21" spans="1:7" s="99" customFormat="1">
      <c r="A21" s="106"/>
      <c r="B21" s="131"/>
      <c r="C21" s="112" t="str">
        <f>"Note de : "&amp;Objectif2!B1</f>
        <v>Note de : Architecture virtuelle</v>
      </c>
      <c r="D21" s="115">
        <f>MROUND(D20*5/B20+1,0.1)</f>
        <v>1</v>
      </c>
      <c r="E21" s="111"/>
      <c r="F21" s="111"/>
      <c r="G21" s="124"/>
    </row>
    <row r="22" spans="1:7" s="95" customFormat="1" ht="14.25">
      <c r="A22" s="103" t="str">
        <f>Objectif3!B1</f>
        <v>Application LDAP</v>
      </c>
      <c r="B22" s="128">
        <f>Objectif3!E1</f>
        <v>1</v>
      </c>
      <c r="C22" s="108">
        <f>Objectif3!C1</f>
        <v>0</v>
      </c>
      <c r="D22" s="108"/>
      <c r="E22" s="108"/>
      <c r="F22" s="108"/>
      <c r="G22" s="121"/>
    </row>
    <row r="23" spans="1:7" s="96" customFormat="1">
      <c r="A23" s="104" t="str">
        <f>Objectif3!B4</f>
        <v>Authentification et accès d’un utilisateur à l'AD</v>
      </c>
      <c r="B23" s="129">
        <f>Objectif3!E4</f>
        <v>2</v>
      </c>
      <c r="C23" s="109" t="str">
        <f>Objectif3!D4</f>
        <v>Selon CDC</v>
      </c>
      <c r="D23" s="113"/>
      <c r="E23" s="116"/>
      <c r="F23" s="81" t="str">
        <f>IF(COUNT(D23),IF(D23=3,Objectif3!F4,IF(D23=2,Objectif3!G4,IF(D23=1,Objectif3!H4,Objectif3!I4))),"")</f>
        <v/>
      </c>
      <c r="G23" s="122">
        <f t="shared" ref="G23:G28" si="1" xml:space="preserve"> B23 * D23</f>
        <v>0</v>
      </c>
    </row>
    <row r="24" spans="1:7" s="98" customFormat="1" ht="33">
      <c r="A24" s="105" t="str">
        <f>Objectif3!B5</f>
        <v>Affichage des informations de l'utilisatreur selon le tableau</v>
      </c>
      <c r="B24" s="130">
        <f>Objectif3!E5</f>
        <v>1</v>
      </c>
      <c r="C24" s="110" t="str">
        <f>Objectif3!D5</f>
        <v>Selon CDC</v>
      </c>
      <c r="D24" s="114"/>
      <c r="E24" s="117"/>
      <c r="F24" s="97" t="str">
        <f>IF(COUNT(D24),IF(D24=3,Objectif3!F5,IF(D24=2,Objectif3!G5,IF(D24=1,Objectif3!H5,Objectif3!I5))),"")</f>
        <v/>
      </c>
      <c r="G24" s="123">
        <f t="shared" si="1"/>
        <v>0</v>
      </c>
    </row>
    <row r="25" spans="1:7" s="96" customFormat="1">
      <c r="A25" s="104" t="str">
        <f>Objectif3!B6</f>
        <v>Utilisation du fichier de config selon la donnée</v>
      </c>
      <c r="B25" s="129">
        <f>Objectif3!E6</f>
        <v>1</v>
      </c>
      <c r="C25" s="109" t="str">
        <f>Objectif3!D6</f>
        <v>Selon CDC</v>
      </c>
      <c r="D25" s="113"/>
      <c r="E25" s="116"/>
      <c r="F25" s="81" t="str">
        <f>IF(COUNT(D25),IF(D25=3,Objectif3!F6,IF(D25=2,Objectif3!G6,IF(D25=1,Objectif3!H6,Objectif3!I6))),"")</f>
        <v/>
      </c>
      <c r="G25" s="122">
        <f t="shared" si="1"/>
        <v>0</v>
      </c>
    </row>
    <row r="26" spans="1:7" s="98" customFormat="1">
      <c r="A26" s="105" t="str">
        <f>Objectif3!B7</f>
        <v>Fichier de log généré et actualisé</v>
      </c>
      <c r="B26" s="130">
        <f>Objectif3!E7</f>
        <v>1</v>
      </c>
      <c r="C26" s="110" t="str">
        <f>Objectif3!D7</f>
        <v>Selon CDC</v>
      </c>
      <c r="D26" s="114"/>
      <c r="E26" s="117"/>
      <c r="F26" s="97" t="str">
        <f>IF(COUNT(D26),IF(D26=3,Objectif3!F7,IF(D26=2,Objectif3!G7,IF(D26=1,Objectif3!H7,Objectif3!I7))),"")</f>
        <v/>
      </c>
      <c r="G26" s="123">
        <f t="shared" si="1"/>
        <v>0</v>
      </c>
    </row>
    <row r="27" spans="1:7" s="96" customFormat="1">
      <c r="A27" s="104" t="str">
        <f>Objectif3!B8</f>
        <v>Log dans une console graphique</v>
      </c>
      <c r="B27" s="129">
        <f>Objectif3!E8</f>
        <v>1</v>
      </c>
      <c r="C27" s="109" t="str">
        <f>Objectif3!D8</f>
        <v>Selon CDC</v>
      </c>
      <c r="D27" s="113"/>
      <c r="E27" s="116"/>
      <c r="F27" s="81" t="str">
        <f>IF(COUNT(D27),IF(D27=3,Objectif3!F8,IF(D27=2,Objectif3!G8,IF(D27=1,Objectif3!H8,Objectif3!I8))),"")</f>
        <v/>
      </c>
      <c r="G27" s="122">
        <f t="shared" si="1"/>
        <v>0</v>
      </c>
    </row>
    <row r="28" spans="1:7" s="98" customFormat="1">
      <c r="A28" s="105" t="str">
        <f>Objectif3!B9</f>
        <v>Gestion des erreurs</v>
      </c>
      <c r="B28" s="130">
        <f>Objectif3!E9</f>
        <v>1</v>
      </c>
      <c r="C28" s="110" t="str">
        <f>Objectif3!D9</f>
        <v>Gestion des erreurs</v>
      </c>
      <c r="D28" s="114"/>
      <c r="E28" s="117"/>
      <c r="F28" s="97" t="str">
        <f>IF(COUNT(D28),IF(D28=3,Objectif3!F9,IF(D28=2,Objectif3!G9,IF(D28=1,Objectif3!H9,Objectif3!I9))),"")</f>
        <v/>
      </c>
      <c r="G28" s="123">
        <f t="shared" si="1"/>
        <v>0</v>
      </c>
    </row>
    <row r="29" spans="1:7" s="99" customFormat="1" hidden="1">
      <c r="A29" s="106"/>
      <c r="B29" s="131">
        <f>SUM(B23:B28)*3</f>
        <v>21</v>
      </c>
      <c r="C29" s="111" t="s">
        <v>53</v>
      </c>
      <c r="D29" s="111">
        <f>SUM(G23:G28)</f>
        <v>0</v>
      </c>
      <c r="E29" s="111"/>
      <c r="F29" s="111"/>
      <c r="G29" s="124"/>
    </row>
    <row r="30" spans="1:7" s="99" customFormat="1">
      <c r="A30" s="106"/>
      <c r="B30" s="131"/>
      <c r="C30" s="112" t="str">
        <f>"Note de : "&amp;Objectif3!B1</f>
        <v>Note de : Application LDAP</v>
      </c>
      <c r="D30" s="115">
        <f>MROUND(D29*5/B29+1,0.1)</f>
        <v>1</v>
      </c>
      <c r="E30" s="111"/>
      <c r="F30" s="111"/>
      <c r="G30" s="124"/>
    </row>
    <row r="31" spans="1:7" s="95" customFormat="1" ht="14.25">
      <c r="A31" s="103" t="str">
        <f>Objectif4!B1</f>
        <v>Developpements C#</v>
      </c>
      <c r="B31" s="128">
        <f>Objectif4!E1</f>
        <v>1</v>
      </c>
      <c r="C31" s="108" t="str">
        <f>Objectif4!C1</f>
        <v>Explications</v>
      </c>
      <c r="D31" s="108"/>
      <c r="E31" s="108"/>
      <c r="F31" s="108"/>
      <c r="G31" s="121"/>
    </row>
    <row r="32" spans="1:7" s="98" customFormat="1">
      <c r="A32" s="105" t="str">
        <f>Objectif4!B4</f>
        <v>Entêtes de fichier</v>
      </c>
      <c r="B32" s="130">
        <f>Objectif4!E4</f>
        <v>2</v>
      </c>
      <c r="C32" s="110" t="str">
        <f>Objectif4!D4</f>
        <v>//Auteur, date, lieu</v>
      </c>
      <c r="D32" s="114"/>
      <c r="E32" s="117"/>
      <c r="F32" s="97" t="str">
        <f>IF(COUNT(D32),IF(D32=3,Objectif4!F4,IF(D32=2,Objectif4!G4,IF(D32=1,Objectif4!H4,Objectif4!I4))),"")</f>
        <v/>
      </c>
      <c r="G32" s="123">
        <f t="shared" ref="G32:G37" si="2" xml:space="preserve"> B32 * D32</f>
        <v>0</v>
      </c>
    </row>
    <row r="33" spans="1:7" s="96" customFormat="1">
      <c r="A33" s="104" t="str">
        <f>Objectif4!B5</f>
        <v>Entêtes de classes/méthodes</v>
      </c>
      <c r="B33" s="129">
        <f>Objectif4!E5</f>
        <v>2</v>
      </c>
      <c r="C33" s="109" t="str">
        <f>Objectif4!D5</f>
        <v>///&lt;summary&gt;...</v>
      </c>
      <c r="D33" s="113"/>
      <c r="E33" s="116"/>
      <c r="F33" s="81" t="str">
        <f>IF(COUNT(D33),IF(D33=3,Objectif4!F5,IF(D33=2,Objectif4!G5,IF(D33=1,Objectif4!H5,Objectif4!I5))),"")</f>
        <v/>
      </c>
      <c r="G33" s="122">
        <f t="shared" si="2"/>
        <v>0</v>
      </c>
    </row>
    <row r="34" spans="1:7" s="98" customFormat="1">
      <c r="A34" s="105" t="str">
        <f>Objectif4!B6</f>
        <v>Commentaires</v>
      </c>
      <c r="B34" s="130">
        <f>Objectif4!E6</f>
        <v>1</v>
      </c>
      <c r="C34" s="110" t="str">
        <f>Objectif4!D6</f>
        <v>//Information utile ...</v>
      </c>
      <c r="D34" s="114"/>
      <c r="E34" s="117"/>
      <c r="F34" s="97" t="str">
        <f>IF(COUNT(D34),IF(D34=3,Objectif4!F6,IF(D34=2,Objectif4!G6,IF(D34=1,Objectif4!H6,Objectif4!I6))),"")</f>
        <v/>
      </c>
      <c r="G34" s="123">
        <f t="shared" si="2"/>
        <v>0</v>
      </c>
    </row>
    <row r="35" spans="1:7" s="96" customFormat="1">
      <c r="A35" s="104" t="str">
        <f>Objectif4!B7</f>
        <v>Noms de variables, classes et méthodes</v>
      </c>
      <c r="B35" s="129">
        <f>Objectif4!E7</f>
        <v>2</v>
      </c>
      <c r="C35" s="109" t="str">
        <f>Objectif4!D7</f>
        <v>Selon conventions</v>
      </c>
      <c r="D35" s="113"/>
      <c r="E35" s="116"/>
      <c r="F35" s="81" t="str">
        <f>IF(COUNT(D35),IF(D35=3,Objectif4!F7,IF(D35=2,Objectif4!G7,IF(D35=1,Objectif4!H7,Objectif4!I7))),"")</f>
        <v/>
      </c>
      <c r="G35" s="122">
        <f t="shared" si="2"/>
        <v>0</v>
      </c>
    </row>
    <row r="36" spans="1:7" s="98" customFormat="1" ht="33">
      <c r="A36" s="105" t="str">
        <f>Objectif4!B8</f>
        <v>Clarté du code</v>
      </c>
      <c r="B36" s="130">
        <f>Objectif4!E8</f>
        <v>1</v>
      </c>
      <c r="C36" s="110" t="str">
        <f>Objectif4!D8</f>
        <v>1 fichier par classe, variables autodescriptives,...</v>
      </c>
      <c r="D36" s="114"/>
      <c r="E36" s="117"/>
      <c r="F36" s="97" t="str">
        <f>IF(COUNT(D36),IF(D36=3,Objectif4!F8,IF(D36=2,Objectif4!G8,IF(D36=1,Objectif4!H8,Objectif4!I8))),"")</f>
        <v/>
      </c>
      <c r="G36" s="123">
        <f t="shared" si="2"/>
        <v>0</v>
      </c>
    </row>
    <row r="37" spans="1:7" s="96" customFormat="1">
      <c r="A37" s="104" t="str">
        <f>Objectif4!B9</f>
        <v>Le projet compile et pas d'erreurs</v>
      </c>
      <c r="B37" s="129">
        <f>Objectif4!E9</f>
        <v>1</v>
      </c>
      <c r="C37" s="109" t="str">
        <f>Objectif4!D9</f>
        <v>Projet sans erreurs</v>
      </c>
      <c r="D37" s="113"/>
      <c r="E37" s="116"/>
      <c r="F37" s="81" t="str">
        <f>IF(COUNT(D37),IF(D37=3,Objectif4!F9,IF(D37=2,Objectif4!G9,IF(D37=1,Objectif4!H9,Objectif4!I9))),"")</f>
        <v/>
      </c>
      <c r="G37" s="122">
        <f t="shared" si="2"/>
        <v>0</v>
      </c>
    </row>
    <row r="38" spans="1:7" s="99" customFormat="1" hidden="1">
      <c r="A38" s="106"/>
      <c r="B38" s="131">
        <f>SUM(B32:B37)*3</f>
        <v>27</v>
      </c>
      <c r="C38" s="111" t="s">
        <v>53</v>
      </c>
      <c r="D38" s="111">
        <f>SUM(G32:G37)</f>
        <v>0</v>
      </c>
      <c r="E38" s="111"/>
      <c r="F38" s="111"/>
      <c r="G38" s="124"/>
    </row>
    <row r="39" spans="1:7" s="99" customFormat="1">
      <c r="A39" s="106"/>
      <c r="B39" s="131"/>
      <c r="C39" s="112" t="str">
        <f>"Note de : "&amp;Objectif4!B1</f>
        <v>Note de : Developpements C#</v>
      </c>
      <c r="D39" s="115">
        <f>MROUND(D38*5/B38+1,0.1)</f>
        <v>1</v>
      </c>
      <c r="E39" s="111"/>
      <c r="F39" s="111"/>
      <c r="G39" s="124"/>
    </row>
    <row r="40" spans="1:7" s="95" customFormat="1" ht="14.25">
      <c r="A40" s="103" t="str">
        <f>Objectif5!B1</f>
        <v>Configurations et tests</v>
      </c>
      <c r="B40" s="128">
        <f>Objectif5!E1</f>
        <v>2</v>
      </c>
      <c r="C40" s="108" t="str">
        <f>Objectif5!C1</f>
        <v>Explications</v>
      </c>
      <c r="D40" s="108"/>
      <c r="E40" s="108"/>
      <c r="F40" s="108"/>
      <c r="G40" s="121"/>
    </row>
    <row r="41" spans="1:7" s="96" customFormat="1">
      <c r="A41" s="104" t="str">
        <f>Objectif5!B4</f>
        <v>Configuration du firewall sur Windows (serveur)</v>
      </c>
      <c r="B41" s="129">
        <f>Objectif5!E4</f>
        <v>1</v>
      </c>
      <c r="C41" s="109" t="str">
        <f>Objectif5!D4</f>
        <v>Selon CDC</v>
      </c>
      <c r="D41" s="113"/>
      <c r="E41" s="116"/>
      <c r="F41" s="81" t="str">
        <f>IF(COUNT(D41),IF(D41=3,Objectif5!F4,IF(D41=2,Objectif5!G4,IF(D41=1,Objectif5!H4,Objectif5!I4))),"")</f>
        <v/>
      </c>
      <c r="G41" s="122">
        <f xml:space="preserve"> B41 * D41</f>
        <v>0</v>
      </c>
    </row>
    <row r="42" spans="1:7" s="98" customFormat="1">
      <c r="A42" s="105" t="str">
        <f>Objectif5!B5</f>
        <v>Utilisation de LDAP Browser</v>
      </c>
      <c r="B42" s="130">
        <f>Objectif5!E5</f>
        <v>1</v>
      </c>
      <c r="C42" s="110" t="str">
        <f>Objectif5!D5</f>
        <v>Selon CDC</v>
      </c>
      <c r="D42" s="114"/>
      <c r="E42" s="117"/>
      <c r="F42" s="97" t="str">
        <f>IF(COUNT(D42),IF(D42=3,Objectif5!F5,IF(D42=2,Objectif5!G5,IF(D42=1,Objectif5!H5,Objectif5!I5))),"")</f>
        <v/>
      </c>
      <c r="G42" s="123">
        <f xml:space="preserve"> B42 * D42</f>
        <v>0</v>
      </c>
    </row>
    <row r="43" spans="1:7" s="96" customFormat="1">
      <c r="A43" s="104" t="str">
        <f>Objectif5!B6</f>
        <v>Tableau avec les tests fonctionnels</v>
      </c>
      <c r="B43" s="129">
        <f>Objectif5!E6</f>
        <v>1</v>
      </c>
      <c r="C43" s="109" t="str">
        <f>Objectif5!D6</f>
        <v>Selon CDC</v>
      </c>
      <c r="D43" s="113"/>
      <c r="E43" s="116"/>
      <c r="F43" s="81" t="str">
        <f>IF(COUNT(D43),IF(D43=3,Objectif5!F6,IF(D43=2,Objectif5!G6,IF(D43=1,Objectif5!H6,Objectif5!I6))),"")</f>
        <v/>
      </c>
      <c r="G43" s="122">
        <f xml:space="preserve"> B43 * D43</f>
        <v>0</v>
      </c>
    </row>
    <row r="44" spans="1:7" s="98" customFormat="1" ht="33">
      <c r="A44" s="105" t="str">
        <f>Objectif5!B7</f>
        <v>Démonstration du fonctionnement dans le rapport</v>
      </c>
      <c r="B44" s="130">
        <f>Objectif5!E7</f>
        <v>1</v>
      </c>
      <c r="C44" s="110" t="str">
        <f>Objectif5!D7</f>
        <v>Selon CDC</v>
      </c>
      <c r="D44" s="114"/>
      <c r="E44" s="117"/>
      <c r="F44" s="97" t="str">
        <f>IF(COUNT(D44),IF(D44=3,Objectif5!F7,IF(D44=2,Objectif5!G7,IF(D44=1,Objectif5!H7,Objectif5!I7))),"")</f>
        <v/>
      </c>
      <c r="G44" s="123">
        <f xml:space="preserve"> B44 * D44</f>
        <v>0</v>
      </c>
    </row>
    <row r="45" spans="1:7" s="96" customFormat="1">
      <c r="A45" s="104" t="str">
        <f>Objectif5!B8</f>
        <v>Schéma réseau avec les interractions</v>
      </c>
      <c r="B45" s="129">
        <f>Objectif5!E8</f>
        <v>1</v>
      </c>
      <c r="C45" s="109" t="str">
        <f>Objectif5!D8</f>
        <v>Schéma réalisé</v>
      </c>
      <c r="D45" s="113"/>
      <c r="E45" s="116"/>
      <c r="F45" s="81" t="str">
        <f>IF(COUNT(D45),IF(D45=3,Objectif5!F8,IF(D45=2,Objectif5!G8,IF(D45=1,Objectif5!H8,Objectif5!I8))),"")</f>
        <v/>
      </c>
      <c r="G45" s="122">
        <f xml:space="preserve"> B45 * D45</f>
        <v>0</v>
      </c>
    </row>
    <row r="46" spans="1:7" s="99" customFormat="1" hidden="1">
      <c r="A46" s="106"/>
      <c r="B46" s="131">
        <f>SUM(B41:B45)*3</f>
        <v>15</v>
      </c>
      <c r="C46" s="111" t="s">
        <v>53</v>
      </c>
      <c r="D46" s="111">
        <f>SUM(G41:G45)</f>
        <v>0</v>
      </c>
      <c r="E46" s="111"/>
      <c r="F46" s="111"/>
      <c r="G46" s="124"/>
    </row>
    <row r="47" spans="1:7" s="99" customFormat="1">
      <c r="A47" s="106"/>
      <c r="B47" s="131"/>
      <c r="C47" s="112" t="str">
        <f>"Note de : "&amp;Objectif5!B1</f>
        <v>Note de : Configurations et tests</v>
      </c>
      <c r="D47" s="115">
        <f>MROUND(D46*5/B46+1,0.1)</f>
        <v>1</v>
      </c>
      <c r="E47" s="111"/>
      <c r="F47" s="111"/>
      <c r="G47" s="124"/>
    </row>
  </sheetData>
  <sheetProtection sheet="1" objects="1" scenarios="1" formatCells="0" formatColumns="0" formatRows="0" selectLockedCells="1"/>
  <conditionalFormatting sqref="D5">
    <cfRule type="containsBlanks" dxfId="144" priority="202">
      <formula>LEN(TRIM(D5))=0</formula>
    </cfRule>
    <cfRule type="iconSet" priority="203">
      <iconSet iconSet="4ArrowsGray">
        <cfvo type="percent" val="0"/>
        <cfvo type="num" val="1"/>
        <cfvo type="num" val="2"/>
        <cfvo type="num" val="3"/>
      </iconSet>
    </cfRule>
  </conditionalFormatting>
  <conditionalFormatting sqref="F5">
    <cfRule type="expression" priority="197" stopIfTrue="1">
      <formula>IF($D5="","VRAI","FAUX")</formula>
    </cfRule>
    <cfRule type="expression" dxfId="143" priority="198" stopIfTrue="1">
      <formula>IF($D5=3,"VRAI","FAUX")</formula>
    </cfRule>
    <cfRule type="expression" dxfId="142" priority="199" stopIfTrue="1">
      <formula>IF($D5=2,"VRAI","FAUX")</formula>
    </cfRule>
    <cfRule type="expression" dxfId="141" priority="200" stopIfTrue="1">
      <formula>IF($D5=1,"VRAI","FAUX")</formula>
    </cfRule>
    <cfRule type="expression" dxfId="140" priority="201" stopIfTrue="1">
      <formula>IF($D5=0,"VRAI","FAUX")</formula>
    </cfRule>
  </conditionalFormatting>
  <conditionalFormatting sqref="D6">
    <cfRule type="containsBlanks" dxfId="139" priority="195">
      <formula>LEN(TRIM(D6))=0</formula>
    </cfRule>
    <cfRule type="iconSet" priority="196">
      <iconSet iconSet="4ArrowsGray">
        <cfvo type="percent" val="0"/>
        <cfvo type="num" val="1"/>
        <cfvo type="num" val="2"/>
        <cfvo type="num" val="3"/>
      </iconSet>
    </cfRule>
  </conditionalFormatting>
  <conditionalFormatting sqref="F6">
    <cfRule type="expression" priority="190" stopIfTrue="1">
      <formula>IF($D6="","VRAI","FAUX")</formula>
    </cfRule>
    <cfRule type="expression" dxfId="138" priority="191" stopIfTrue="1">
      <formula>IF($D6=3,"VRAI","FAUX")</formula>
    </cfRule>
    <cfRule type="expression" dxfId="137" priority="192" stopIfTrue="1">
      <formula>IF($D6=2,"VRAI","FAUX")</formula>
    </cfRule>
    <cfRule type="expression" dxfId="136" priority="193" stopIfTrue="1">
      <formula>IF($D6=1,"VRAI","FAUX")</formula>
    </cfRule>
    <cfRule type="expression" dxfId="135" priority="194" stopIfTrue="1">
      <formula>IF($D6=0,"VRAI","FAUX")</formula>
    </cfRule>
  </conditionalFormatting>
  <conditionalFormatting sqref="D7">
    <cfRule type="containsBlanks" dxfId="134" priority="188">
      <formula>LEN(TRIM(D7))=0</formula>
    </cfRule>
    <cfRule type="iconSet" priority="189">
      <iconSet iconSet="4ArrowsGray">
        <cfvo type="percent" val="0"/>
        <cfvo type="num" val="1"/>
        <cfvo type="num" val="2"/>
        <cfvo type="num" val="3"/>
      </iconSet>
    </cfRule>
  </conditionalFormatting>
  <conditionalFormatting sqref="F7">
    <cfRule type="expression" priority="183" stopIfTrue="1">
      <formula>IF($D7="","VRAI","FAUX")</formula>
    </cfRule>
    <cfRule type="expression" dxfId="133" priority="184" stopIfTrue="1">
      <formula>IF($D7=3,"VRAI","FAUX")</formula>
    </cfRule>
    <cfRule type="expression" dxfId="132" priority="185" stopIfTrue="1">
      <formula>IF($D7=2,"VRAI","FAUX")</formula>
    </cfRule>
    <cfRule type="expression" dxfId="131" priority="186" stopIfTrue="1">
      <formula>IF($D7=1,"VRAI","FAUX")</formula>
    </cfRule>
    <cfRule type="expression" dxfId="130" priority="187" stopIfTrue="1">
      <formula>IF($D7=0,"VRAI","FAUX")</formula>
    </cfRule>
  </conditionalFormatting>
  <conditionalFormatting sqref="D8">
    <cfRule type="containsBlanks" dxfId="129" priority="181">
      <formula>LEN(TRIM(D8))=0</formula>
    </cfRule>
    <cfRule type="iconSet" priority="182">
      <iconSet iconSet="4ArrowsGray">
        <cfvo type="percent" val="0"/>
        <cfvo type="num" val="1"/>
        <cfvo type="num" val="2"/>
        <cfvo type="num" val="3"/>
      </iconSet>
    </cfRule>
  </conditionalFormatting>
  <conditionalFormatting sqref="F8">
    <cfRule type="expression" priority="176" stopIfTrue="1">
      <formula>IF($D8="","VRAI","FAUX")</formula>
    </cfRule>
    <cfRule type="expression" dxfId="128" priority="177" stopIfTrue="1">
      <formula>IF($D8=3,"VRAI","FAUX")</formula>
    </cfRule>
    <cfRule type="expression" dxfId="127" priority="178" stopIfTrue="1">
      <formula>IF($D8=2,"VRAI","FAUX")</formula>
    </cfRule>
    <cfRule type="expression" dxfId="126" priority="179" stopIfTrue="1">
      <formula>IF($D8=1,"VRAI","FAUX")</formula>
    </cfRule>
    <cfRule type="expression" dxfId="125" priority="180" stopIfTrue="1">
      <formula>IF($D8=0,"VRAI","FAUX")</formula>
    </cfRule>
  </conditionalFormatting>
  <conditionalFormatting sqref="D9">
    <cfRule type="containsBlanks" dxfId="124" priority="174">
      <formula>LEN(TRIM(D9))=0</formula>
    </cfRule>
    <cfRule type="iconSet" priority="175">
      <iconSet iconSet="4ArrowsGray">
        <cfvo type="percent" val="0"/>
        <cfvo type="num" val="1"/>
        <cfvo type="num" val="2"/>
        <cfvo type="num" val="3"/>
      </iconSet>
    </cfRule>
  </conditionalFormatting>
  <conditionalFormatting sqref="F9">
    <cfRule type="expression" priority="169" stopIfTrue="1">
      <formula>IF($D9="","VRAI","FAUX")</formula>
    </cfRule>
    <cfRule type="expression" dxfId="123" priority="170" stopIfTrue="1">
      <formula>IF($D9=3,"VRAI","FAUX")</formula>
    </cfRule>
    <cfRule type="expression" dxfId="122" priority="171" stopIfTrue="1">
      <formula>IF($D9=2,"VRAI","FAUX")</formula>
    </cfRule>
    <cfRule type="expression" dxfId="121" priority="172" stopIfTrue="1">
      <formula>IF($D9=1,"VRAI","FAUX")</formula>
    </cfRule>
    <cfRule type="expression" dxfId="120" priority="173" stopIfTrue="1">
      <formula>IF($D9=0,"VRAI","FAUX")</formula>
    </cfRule>
  </conditionalFormatting>
  <conditionalFormatting sqref="D10">
    <cfRule type="containsBlanks" dxfId="119" priority="167">
      <formula>LEN(TRIM(D10))=0</formula>
    </cfRule>
    <cfRule type="iconSet" priority="168">
      <iconSet iconSet="4ArrowsGray">
        <cfvo type="percent" val="0"/>
        <cfvo type="num" val="1"/>
        <cfvo type="num" val="2"/>
        <cfvo type="num" val="3"/>
      </iconSet>
    </cfRule>
  </conditionalFormatting>
  <conditionalFormatting sqref="F10">
    <cfRule type="expression" priority="162" stopIfTrue="1">
      <formula>IF($D10="","VRAI","FAUX")</formula>
    </cfRule>
    <cfRule type="expression" dxfId="118" priority="163" stopIfTrue="1">
      <formula>IF($D10=3,"VRAI","FAUX")</formula>
    </cfRule>
    <cfRule type="expression" dxfId="117" priority="164" stopIfTrue="1">
      <formula>IF($D10=2,"VRAI","FAUX")</formula>
    </cfRule>
    <cfRule type="expression" dxfId="116" priority="165" stopIfTrue="1">
      <formula>IF($D10=1,"VRAI","FAUX")</formula>
    </cfRule>
    <cfRule type="expression" dxfId="115" priority="166" stopIfTrue="1">
      <formula>IF($D10=0,"VRAI","FAUX")</formula>
    </cfRule>
  </conditionalFormatting>
  <conditionalFormatting sqref="D11">
    <cfRule type="containsBlanks" dxfId="114" priority="160">
      <formula>LEN(TRIM(D11))=0</formula>
    </cfRule>
    <cfRule type="iconSet" priority="161">
      <iconSet iconSet="4ArrowsGray">
        <cfvo type="percent" val="0"/>
        <cfvo type="num" val="1"/>
        <cfvo type="num" val="2"/>
        <cfvo type="num" val="3"/>
      </iconSet>
    </cfRule>
  </conditionalFormatting>
  <conditionalFormatting sqref="F11">
    <cfRule type="expression" priority="155" stopIfTrue="1">
      <formula>IF($D11="","VRAI","FAUX")</formula>
    </cfRule>
    <cfRule type="expression" dxfId="113" priority="156" stopIfTrue="1">
      <formula>IF($D11=3,"VRAI","FAUX")</formula>
    </cfRule>
    <cfRule type="expression" dxfId="112" priority="157" stopIfTrue="1">
      <formula>IF($D11=2,"VRAI","FAUX")</formula>
    </cfRule>
    <cfRule type="expression" dxfId="111" priority="158" stopIfTrue="1">
      <formula>IF($D11=1,"VRAI","FAUX")</formula>
    </cfRule>
    <cfRule type="expression" dxfId="110" priority="159" stopIfTrue="1">
      <formula>IF($D11=0,"VRAI","FAUX")</formula>
    </cfRule>
  </conditionalFormatting>
  <conditionalFormatting sqref="D12">
    <cfRule type="containsBlanks" dxfId="109" priority="153">
      <formula>LEN(TRIM(D12))=0</formula>
    </cfRule>
    <cfRule type="iconSet" priority="154">
      <iconSet iconSet="4ArrowsGray">
        <cfvo type="percent" val="0"/>
        <cfvo type="num" val="1"/>
        <cfvo type="num" val="2"/>
        <cfvo type="num" val="3"/>
      </iconSet>
    </cfRule>
  </conditionalFormatting>
  <conditionalFormatting sqref="F12">
    <cfRule type="expression" priority="148" stopIfTrue="1">
      <formula>IF($D12="","VRAI","FAUX")</formula>
    </cfRule>
    <cfRule type="expression" dxfId="108" priority="149" stopIfTrue="1">
      <formula>IF($D12=3,"VRAI","FAUX")</formula>
    </cfRule>
    <cfRule type="expression" dxfId="107" priority="150" stopIfTrue="1">
      <formula>IF($D12=2,"VRAI","FAUX")</formula>
    </cfRule>
    <cfRule type="expression" dxfId="106" priority="151" stopIfTrue="1">
      <formula>IF($D12=1,"VRAI","FAUX")</formula>
    </cfRule>
    <cfRule type="expression" dxfId="105" priority="152" stopIfTrue="1">
      <formula>IF($D12=0,"VRAI","FAUX")</formula>
    </cfRule>
  </conditionalFormatting>
  <conditionalFormatting sqref="D13">
    <cfRule type="containsBlanks" dxfId="104" priority="146">
      <formula>LEN(TRIM(D13))=0</formula>
    </cfRule>
    <cfRule type="iconSet" priority="147">
      <iconSet iconSet="4ArrowsGray">
        <cfvo type="percent" val="0"/>
        <cfvo type="num" val="1"/>
        <cfvo type="num" val="2"/>
        <cfvo type="num" val="3"/>
      </iconSet>
    </cfRule>
  </conditionalFormatting>
  <conditionalFormatting sqref="F13">
    <cfRule type="expression" priority="141" stopIfTrue="1">
      <formula>IF($D13="","VRAI","FAUX")</formula>
    </cfRule>
    <cfRule type="expression" dxfId="103" priority="142" stopIfTrue="1">
      <formula>IF($D13=3,"VRAI","FAUX")</formula>
    </cfRule>
    <cfRule type="expression" dxfId="102" priority="143" stopIfTrue="1">
      <formula>IF($D13=2,"VRAI","FAUX")</formula>
    </cfRule>
    <cfRule type="expression" dxfId="101" priority="144" stopIfTrue="1">
      <formula>IF($D13=1,"VRAI","FAUX")</formula>
    </cfRule>
    <cfRule type="expression" dxfId="100" priority="145" stopIfTrue="1">
      <formula>IF($D13=0,"VRAI","FAUX")</formula>
    </cfRule>
  </conditionalFormatting>
  <conditionalFormatting sqref="D14">
    <cfRule type="containsBlanks" dxfId="99" priority="139">
      <formula>LEN(TRIM(D14))=0</formula>
    </cfRule>
    <cfRule type="iconSet" priority="140">
      <iconSet iconSet="4ArrowsGray">
        <cfvo type="percent" val="0"/>
        <cfvo type="num" val="1"/>
        <cfvo type="num" val="2"/>
        <cfvo type="num" val="3"/>
      </iconSet>
    </cfRule>
  </conditionalFormatting>
  <conditionalFormatting sqref="F14">
    <cfRule type="expression" priority="134" stopIfTrue="1">
      <formula>IF($D14="","VRAI","FAUX")</formula>
    </cfRule>
    <cfRule type="expression" dxfId="98" priority="135" stopIfTrue="1">
      <formula>IF($D14=3,"VRAI","FAUX")</formula>
    </cfRule>
    <cfRule type="expression" dxfId="97" priority="136" stopIfTrue="1">
      <formula>IF($D14=2,"VRAI","FAUX")</formula>
    </cfRule>
    <cfRule type="expression" dxfId="96" priority="137" stopIfTrue="1">
      <formula>IF($D14=1,"VRAI","FAUX")</formula>
    </cfRule>
    <cfRule type="expression" dxfId="95" priority="138" stopIfTrue="1">
      <formula>IF($D14=0,"VRAI","FAUX")</formula>
    </cfRule>
  </conditionalFormatting>
  <conditionalFormatting sqref="D18">
    <cfRule type="containsBlanks" dxfId="94" priority="132">
      <formula>LEN(TRIM(D18))=0</formula>
    </cfRule>
    <cfRule type="iconSet" priority="133">
      <iconSet iconSet="4ArrowsGray">
        <cfvo type="percent" val="0"/>
        <cfvo type="num" val="1"/>
        <cfvo type="num" val="2"/>
        <cfvo type="num" val="3"/>
      </iconSet>
    </cfRule>
  </conditionalFormatting>
  <conditionalFormatting sqref="F18">
    <cfRule type="expression" priority="127" stopIfTrue="1">
      <formula>IF($D18="","VRAI","FAUX")</formula>
    </cfRule>
    <cfRule type="expression" dxfId="93" priority="128" stopIfTrue="1">
      <formula>IF($D18=3,"VRAI","FAUX")</formula>
    </cfRule>
    <cfRule type="expression" dxfId="92" priority="129" stopIfTrue="1">
      <formula>IF($D18=2,"VRAI","FAUX")</formula>
    </cfRule>
    <cfRule type="expression" dxfId="91" priority="130" stopIfTrue="1">
      <formula>IF($D18=1,"VRAI","FAUX")</formula>
    </cfRule>
    <cfRule type="expression" dxfId="90" priority="131" stopIfTrue="1">
      <formula>IF($D18=0,"VRAI","FAUX")</formula>
    </cfRule>
  </conditionalFormatting>
  <conditionalFormatting sqref="D19">
    <cfRule type="containsBlanks" dxfId="89" priority="125">
      <formula>LEN(TRIM(D19))=0</formula>
    </cfRule>
    <cfRule type="iconSet" priority="126">
      <iconSet iconSet="4ArrowsGray">
        <cfvo type="percent" val="0"/>
        <cfvo type="num" val="1"/>
        <cfvo type="num" val="2"/>
        <cfvo type="num" val="3"/>
      </iconSet>
    </cfRule>
  </conditionalFormatting>
  <conditionalFormatting sqref="F19">
    <cfRule type="expression" priority="120" stopIfTrue="1">
      <formula>IF($D19="","VRAI","FAUX")</formula>
    </cfRule>
    <cfRule type="expression" dxfId="88" priority="121" stopIfTrue="1">
      <formula>IF($D19=3,"VRAI","FAUX")</formula>
    </cfRule>
    <cfRule type="expression" dxfId="87" priority="122" stopIfTrue="1">
      <formula>IF($D19=2,"VRAI","FAUX")</formula>
    </cfRule>
    <cfRule type="expression" dxfId="86" priority="123" stopIfTrue="1">
      <formula>IF($D19=1,"VRAI","FAUX")</formula>
    </cfRule>
    <cfRule type="expression" dxfId="85" priority="124" stopIfTrue="1">
      <formula>IF($D19=0,"VRAI","FAUX")</formula>
    </cfRule>
  </conditionalFormatting>
  <conditionalFormatting sqref="D23">
    <cfRule type="containsBlanks" dxfId="84" priority="118">
      <formula>LEN(TRIM(D23))=0</formula>
    </cfRule>
    <cfRule type="iconSet" priority="119">
      <iconSet iconSet="4ArrowsGray">
        <cfvo type="percent" val="0"/>
        <cfvo type="num" val="1"/>
        <cfvo type="num" val="2"/>
        <cfvo type="num" val="3"/>
      </iconSet>
    </cfRule>
  </conditionalFormatting>
  <conditionalFormatting sqref="F23">
    <cfRule type="expression" priority="113" stopIfTrue="1">
      <formula>IF($D23="","VRAI","FAUX")</formula>
    </cfRule>
    <cfRule type="expression" dxfId="83" priority="114" stopIfTrue="1">
      <formula>IF($D23=3,"VRAI","FAUX")</formula>
    </cfRule>
    <cfRule type="expression" dxfId="82" priority="115" stopIfTrue="1">
      <formula>IF($D23=2,"VRAI","FAUX")</formula>
    </cfRule>
    <cfRule type="expression" dxfId="81" priority="116" stopIfTrue="1">
      <formula>IF($D23=1,"VRAI","FAUX")</formula>
    </cfRule>
    <cfRule type="expression" dxfId="80" priority="117" stopIfTrue="1">
      <formula>IF($D23=0,"VRAI","FAUX")</formula>
    </cfRule>
  </conditionalFormatting>
  <conditionalFormatting sqref="D24">
    <cfRule type="containsBlanks" dxfId="79" priority="111">
      <formula>LEN(TRIM(D24))=0</formula>
    </cfRule>
    <cfRule type="iconSet" priority="112">
      <iconSet iconSet="4ArrowsGray">
        <cfvo type="percent" val="0"/>
        <cfvo type="num" val="1"/>
        <cfvo type="num" val="2"/>
        <cfvo type="num" val="3"/>
      </iconSet>
    </cfRule>
  </conditionalFormatting>
  <conditionalFormatting sqref="F24">
    <cfRule type="expression" priority="106" stopIfTrue="1">
      <formula>IF($D24="","VRAI","FAUX")</formula>
    </cfRule>
    <cfRule type="expression" dxfId="78" priority="107" stopIfTrue="1">
      <formula>IF($D24=3,"VRAI","FAUX")</formula>
    </cfRule>
    <cfRule type="expression" dxfId="77" priority="108" stopIfTrue="1">
      <formula>IF($D24=2,"VRAI","FAUX")</formula>
    </cfRule>
    <cfRule type="expression" dxfId="76" priority="109" stopIfTrue="1">
      <formula>IF($D24=1,"VRAI","FAUX")</formula>
    </cfRule>
    <cfRule type="expression" dxfId="75" priority="110" stopIfTrue="1">
      <formula>IF($D24=0,"VRAI","FAUX")</formula>
    </cfRule>
  </conditionalFormatting>
  <conditionalFormatting sqref="D25">
    <cfRule type="containsBlanks" dxfId="74" priority="104">
      <formula>LEN(TRIM(D25))=0</formula>
    </cfRule>
    <cfRule type="iconSet" priority="105">
      <iconSet iconSet="4ArrowsGray">
        <cfvo type="percent" val="0"/>
        <cfvo type="num" val="1"/>
        <cfvo type="num" val="2"/>
        <cfvo type="num" val="3"/>
      </iconSet>
    </cfRule>
  </conditionalFormatting>
  <conditionalFormatting sqref="F25">
    <cfRule type="expression" priority="99" stopIfTrue="1">
      <formula>IF($D25="","VRAI","FAUX")</formula>
    </cfRule>
    <cfRule type="expression" dxfId="73" priority="100" stopIfTrue="1">
      <formula>IF($D25=3,"VRAI","FAUX")</formula>
    </cfRule>
    <cfRule type="expression" dxfId="72" priority="101" stopIfTrue="1">
      <formula>IF($D25=2,"VRAI","FAUX")</formula>
    </cfRule>
    <cfRule type="expression" dxfId="71" priority="102" stopIfTrue="1">
      <formula>IF($D25=1,"VRAI","FAUX")</formula>
    </cfRule>
    <cfRule type="expression" dxfId="70" priority="103" stopIfTrue="1">
      <formula>IF($D25=0,"VRAI","FAUX")</formula>
    </cfRule>
  </conditionalFormatting>
  <conditionalFormatting sqref="D26">
    <cfRule type="containsBlanks" dxfId="69" priority="97">
      <formula>LEN(TRIM(D26))=0</formula>
    </cfRule>
    <cfRule type="iconSet" priority="98">
      <iconSet iconSet="4ArrowsGray">
        <cfvo type="percent" val="0"/>
        <cfvo type="num" val="1"/>
        <cfvo type="num" val="2"/>
        <cfvo type="num" val="3"/>
      </iconSet>
    </cfRule>
  </conditionalFormatting>
  <conditionalFormatting sqref="F26">
    <cfRule type="expression" priority="92" stopIfTrue="1">
      <formula>IF($D26="","VRAI","FAUX")</formula>
    </cfRule>
    <cfRule type="expression" dxfId="68" priority="93" stopIfTrue="1">
      <formula>IF($D26=3,"VRAI","FAUX")</formula>
    </cfRule>
    <cfRule type="expression" dxfId="67" priority="94" stopIfTrue="1">
      <formula>IF($D26=2,"VRAI","FAUX")</formula>
    </cfRule>
    <cfRule type="expression" dxfId="66" priority="95" stopIfTrue="1">
      <formula>IF($D26=1,"VRAI","FAUX")</formula>
    </cfRule>
    <cfRule type="expression" dxfId="65" priority="96" stopIfTrue="1">
      <formula>IF($D26=0,"VRAI","FAUX")</formula>
    </cfRule>
  </conditionalFormatting>
  <conditionalFormatting sqref="D27">
    <cfRule type="containsBlanks" dxfId="64" priority="90">
      <formula>LEN(TRIM(D27))=0</formula>
    </cfRule>
    <cfRule type="iconSet" priority="91">
      <iconSet iconSet="4ArrowsGray">
        <cfvo type="percent" val="0"/>
        <cfvo type="num" val="1"/>
        <cfvo type="num" val="2"/>
        <cfvo type="num" val="3"/>
      </iconSet>
    </cfRule>
  </conditionalFormatting>
  <conditionalFormatting sqref="F27">
    <cfRule type="expression" priority="85" stopIfTrue="1">
      <formula>IF($D27="","VRAI","FAUX")</formula>
    </cfRule>
    <cfRule type="expression" dxfId="63" priority="86" stopIfTrue="1">
      <formula>IF($D27=3,"VRAI","FAUX")</formula>
    </cfRule>
    <cfRule type="expression" dxfId="62" priority="87" stopIfTrue="1">
      <formula>IF($D27=2,"VRAI","FAUX")</formula>
    </cfRule>
    <cfRule type="expression" dxfId="61" priority="88" stopIfTrue="1">
      <formula>IF($D27=1,"VRAI","FAUX")</formula>
    </cfRule>
    <cfRule type="expression" dxfId="60" priority="89" stopIfTrue="1">
      <formula>IF($D27=0,"VRAI","FAUX")</formula>
    </cfRule>
  </conditionalFormatting>
  <conditionalFormatting sqref="D28">
    <cfRule type="containsBlanks" dxfId="59" priority="83">
      <formula>LEN(TRIM(D28))=0</formula>
    </cfRule>
    <cfRule type="iconSet" priority="84">
      <iconSet iconSet="4ArrowsGray">
        <cfvo type="percent" val="0"/>
        <cfvo type="num" val="1"/>
        <cfvo type="num" val="2"/>
        <cfvo type="num" val="3"/>
      </iconSet>
    </cfRule>
  </conditionalFormatting>
  <conditionalFormatting sqref="F28">
    <cfRule type="expression" priority="78" stopIfTrue="1">
      <formula>IF($D28="","VRAI","FAUX")</formula>
    </cfRule>
    <cfRule type="expression" dxfId="58" priority="79" stopIfTrue="1">
      <formula>IF($D28=3,"VRAI","FAUX")</formula>
    </cfRule>
    <cfRule type="expression" dxfId="57" priority="80" stopIfTrue="1">
      <formula>IF($D28=2,"VRAI","FAUX")</formula>
    </cfRule>
    <cfRule type="expression" dxfId="56" priority="81" stopIfTrue="1">
      <formula>IF($D28=1,"VRAI","FAUX")</formula>
    </cfRule>
    <cfRule type="expression" dxfId="55" priority="82" stopIfTrue="1">
      <formula>IF($D28=0,"VRAI","FAUX")</formula>
    </cfRule>
  </conditionalFormatting>
  <conditionalFormatting sqref="D32">
    <cfRule type="containsBlanks" dxfId="54" priority="76">
      <formula>LEN(TRIM(D32))=0</formula>
    </cfRule>
    <cfRule type="iconSet" priority="77">
      <iconSet iconSet="4ArrowsGray">
        <cfvo type="percent" val="0"/>
        <cfvo type="num" val="1"/>
        <cfvo type="num" val="2"/>
        <cfvo type="num" val="3"/>
      </iconSet>
    </cfRule>
  </conditionalFormatting>
  <conditionalFormatting sqref="F32">
    <cfRule type="expression" priority="71" stopIfTrue="1">
      <formula>IF($D32="","VRAI","FAUX")</formula>
    </cfRule>
    <cfRule type="expression" dxfId="53" priority="72" stopIfTrue="1">
      <formula>IF($D32=3,"VRAI","FAUX")</formula>
    </cfRule>
    <cfRule type="expression" dxfId="52" priority="73" stopIfTrue="1">
      <formula>IF($D32=2,"VRAI","FAUX")</formula>
    </cfRule>
    <cfRule type="expression" dxfId="51" priority="74" stopIfTrue="1">
      <formula>IF($D32=1,"VRAI","FAUX")</formula>
    </cfRule>
    <cfRule type="expression" dxfId="50" priority="75" stopIfTrue="1">
      <formula>IF($D32=0,"VRAI","FAUX")</formula>
    </cfRule>
  </conditionalFormatting>
  <conditionalFormatting sqref="D33">
    <cfRule type="containsBlanks" dxfId="49" priority="69">
      <formula>LEN(TRIM(D33))=0</formula>
    </cfRule>
    <cfRule type="iconSet" priority="70">
      <iconSet iconSet="4ArrowsGray">
        <cfvo type="percent" val="0"/>
        <cfvo type="num" val="1"/>
        <cfvo type="num" val="2"/>
        <cfvo type="num" val="3"/>
      </iconSet>
    </cfRule>
  </conditionalFormatting>
  <conditionalFormatting sqref="F33">
    <cfRule type="expression" priority="64" stopIfTrue="1">
      <formula>IF($D33="","VRAI","FAUX")</formula>
    </cfRule>
    <cfRule type="expression" dxfId="48" priority="65" stopIfTrue="1">
      <formula>IF($D33=3,"VRAI","FAUX")</formula>
    </cfRule>
    <cfRule type="expression" dxfId="47" priority="66" stopIfTrue="1">
      <formula>IF($D33=2,"VRAI","FAUX")</formula>
    </cfRule>
    <cfRule type="expression" dxfId="46" priority="67" stopIfTrue="1">
      <formula>IF($D33=1,"VRAI","FAUX")</formula>
    </cfRule>
    <cfRule type="expression" dxfId="45" priority="68" stopIfTrue="1">
      <formula>IF($D33=0,"VRAI","FAUX")</formula>
    </cfRule>
  </conditionalFormatting>
  <conditionalFormatting sqref="D34">
    <cfRule type="containsBlanks" dxfId="44" priority="62">
      <formula>LEN(TRIM(D34))=0</formula>
    </cfRule>
    <cfRule type="iconSet" priority="63">
      <iconSet iconSet="4ArrowsGray">
        <cfvo type="percent" val="0"/>
        <cfvo type="num" val="1"/>
        <cfvo type="num" val="2"/>
        <cfvo type="num" val="3"/>
      </iconSet>
    </cfRule>
  </conditionalFormatting>
  <conditionalFormatting sqref="F34">
    <cfRule type="expression" priority="57" stopIfTrue="1">
      <formula>IF($D34="","VRAI","FAUX")</formula>
    </cfRule>
    <cfRule type="expression" dxfId="43" priority="58" stopIfTrue="1">
      <formula>IF($D34=3,"VRAI","FAUX")</formula>
    </cfRule>
    <cfRule type="expression" dxfId="42" priority="59" stopIfTrue="1">
      <formula>IF($D34=2,"VRAI","FAUX")</formula>
    </cfRule>
    <cfRule type="expression" dxfId="41" priority="60" stopIfTrue="1">
      <formula>IF($D34=1,"VRAI","FAUX")</formula>
    </cfRule>
    <cfRule type="expression" dxfId="40" priority="61" stopIfTrue="1">
      <formula>IF($D34=0,"VRAI","FAUX")</formula>
    </cfRule>
  </conditionalFormatting>
  <conditionalFormatting sqref="D35">
    <cfRule type="containsBlanks" dxfId="39" priority="55">
      <formula>LEN(TRIM(D35))=0</formula>
    </cfRule>
    <cfRule type="iconSet" priority="56">
      <iconSet iconSet="4ArrowsGray">
        <cfvo type="percent" val="0"/>
        <cfvo type="num" val="1"/>
        <cfvo type="num" val="2"/>
        <cfvo type="num" val="3"/>
      </iconSet>
    </cfRule>
  </conditionalFormatting>
  <conditionalFormatting sqref="F35">
    <cfRule type="expression" priority="50" stopIfTrue="1">
      <formula>IF($D35="","VRAI","FAUX")</formula>
    </cfRule>
    <cfRule type="expression" dxfId="38" priority="51" stopIfTrue="1">
      <formula>IF($D35=3,"VRAI","FAUX")</formula>
    </cfRule>
    <cfRule type="expression" dxfId="37" priority="52" stopIfTrue="1">
      <formula>IF($D35=2,"VRAI","FAUX")</formula>
    </cfRule>
    <cfRule type="expression" dxfId="36" priority="53" stopIfTrue="1">
      <formula>IF($D35=1,"VRAI","FAUX")</formula>
    </cfRule>
    <cfRule type="expression" dxfId="35" priority="54" stopIfTrue="1">
      <formula>IF($D35=0,"VRAI","FAUX")</formula>
    </cfRule>
  </conditionalFormatting>
  <conditionalFormatting sqref="D36">
    <cfRule type="containsBlanks" dxfId="34" priority="48">
      <formula>LEN(TRIM(D36))=0</formula>
    </cfRule>
    <cfRule type="iconSet" priority="49">
      <iconSet iconSet="4ArrowsGray">
        <cfvo type="percent" val="0"/>
        <cfvo type="num" val="1"/>
        <cfvo type="num" val="2"/>
        <cfvo type="num" val="3"/>
      </iconSet>
    </cfRule>
  </conditionalFormatting>
  <conditionalFormatting sqref="F36">
    <cfRule type="expression" priority="43" stopIfTrue="1">
      <formula>IF($D36="","VRAI","FAUX")</formula>
    </cfRule>
    <cfRule type="expression" dxfId="33" priority="44" stopIfTrue="1">
      <formula>IF($D36=3,"VRAI","FAUX")</formula>
    </cfRule>
    <cfRule type="expression" dxfId="32" priority="45" stopIfTrue="1">
      <formula>IF($D36=2,"VRAI","FAUX")</formula>
    </cfRule>
    <cfRule type="expression" dxfId="31" priority="46" stopIfTrue="1">
      <formula>IF($D36=1,"VRAI","FAUX")</formula>
    </cfRule>
    <cfRule type="expression" dxfId="30" priority="47" stopIfTrue="1">
      <formula>IF($D36=0,"VRAI","FAUX")</formula>
    </cfRule>
  </conditionalFormatting>
  <conditionalFormatting sqref="D37">
    <cfRule type="containsBlanks" dxfId="29" priority="41">
      <formula>LEN(TRIM(D37))=0</formula>
    </cfRule>
    <cfRule type="iconSet" priority="42">
      <iconSet iconSet="4ArrowsGray">
        <cfvo type="percent" val="0"/>
        <cfvo type="num" val="1"/>
        <cfvo type="num" val="2"/>
        <cfvo type="num" val="3"/>
      </iconSet>
    </cfRule>
  </conditionalFormatting>
  <conditionalFormatting sqref="F37">
    <cfRule type="expression" priority="36" stopIfTrue="1">
      <formula>IF($D37="","VRAI","FAUX")</formula>
    </cfRule>
    <cfRule type="expression" dxfId="28" priority="37" stopIfTrue="1">
      <formula>IF($D37=3,"VRAI","FAUX")</formula>
    </cfRule>
    <cfRule type="expression" dxfId="27" priority="38" stopIfTrue="1">
      <formula>IF($D37=2,"VRAI","FAUX")</formula>
    </cfRule>
    <cfRule type="expression" dxfId="26" priority="39" stopIfTrue="1">
      <formula>IF($D37=1,"VRAI","FAUX")</formula>
    </cfRule>
    <cfRule type="expression" dxfId="25" priority="40" stopIfTrue="1">
      <formula>IF($D37=0,"VRAI","FAUX")</formula>
    </cfRule>
  </conditionalFormatting>
  <conditionalFormatting sqref="D41">
    <cfRule type="containsBlanks" dxfId="24" priority="34">
      <formula>LEN(TRIM(D41))=0</formula>
    </cfRule>
    <cfRule type="iconSet" priority="35">
      <iconSet iconSet="4ArrowsGray">
        <cfvo type="percent" val="0"/>
        <cfvo type="num" val="1"/>
        <cfvo type="num" val="2"/>
        <cfvo type="num" val="3"/>
      </iconSet>
    </cfRule>
  </conditionalFormatting>
  <conditionalFormatting sqref="F41">
    <cfRule type="expression" priority="29" stopIfTrue="1">
      <formula>IF($D41="","VRAI","FAUX")</formula>
    </cfRule>
    <cfRule type="expression" dxfId="23" priority="30" stopIfTrue="1">
      <formula>IF($D41=3,"VRAI","FAUX")</formula>
    </cfRule>
    <cfRule type="expression" dxfId="22" priority="31" stopIfTrue="1">
      <formula>IF($D41=2,"VRAI","FAUX")</formula>
    </cfRule>
    <cfRule type="expression" dxfId="21" priority="32" stopIfTrue="1">
      <formula>IF($D41=1,"VRAI","FAUX")</formula>
    </cfRule>
    <cfRule type="expression" dxfId="20" priority="33" stopIfTrue="1">
      <formula>IF($D41=0,"VRAI","FAUX")</formula>
    </cfRule>
  </conditionalFormatting>
  <conditionalFormatting sqref="D42">
    <cfRule type="containsBlanks" dxfId="19" priority="27">
      <formula>LEN(TRIM(D42))=0</formula>
    </cfRule>
    <cfRule type="iconSet" priority="28">
      <iconSet iconSet="4ArrowsGray">
        <cfvo type="percent" val="0"/>
        <cfvo type="num" val="1"/>
        <cfvo type="num" val="2"/>
        <cfvo type="num" val="3"/>
      </iconSet>
    </cfRule>
  </conditionalFormatting>
  <conditionalFormatting sqref="F42">
    <cfRule type="expression" priority="22" stopIfTrue="1">
      <formula>IF($D42="","VRAI","FAUX")</formula>
    </cfRule>
    <cfRule type="expression" dxfId="18" priority="23" stopIfTrue="1">
      <formula>IF($D42=3,"VRAI","FAUX")</formula>
    </cfRule>
    <cfRule type="expression" dxfId="17" priority="24" stopIfTrue="1">
      <formula>IF($D42=2,"VRAI","FAUX")</formula>
    </cfRule>
    <cfRule type="expression" dxfId="16" priority="25" stopIfTrue="1">
      <formula>IF($D42=1,"VRAI","FAUX")</formula>
    </cfRule>
    <cfRule type="expression" dxfId="15" priority="26" stopIfTrue="1">
      <formula>IF($D42=0,"VRAI","FAUX")</formula>
    </cfRule>
  </conditionalFormatting>
  <conditionalFormatting sqref="D43">
    <cfRule type="containsBlanks" dxfId="14" priority="20">
      <formula>LEN(TRIM(D43))=0</formula>
    </cfRule>
    <cfRule type="iconSet" priority="21">
      <iconSet iconSet="4ArrowsGray">
        <cfvo type="percent" val="0"/>
        <cfvo type="num" val="1"/>
        <cfvo type="num" val="2"/>
        <cfvo type="num" val="3"/>
      </iconSet>
    </cfRule>
  </conditionalFormatting>
  <conditionalFormatting sqref="F43">
    <cfRule type="expression" priority="15" stopIfTrue="1">
      <formula>IF($D43="","VRAI","FAUX")</formula>
    </cfRule>
    <cfRule type="expression" dxfId="13" priority="16" stopIfTrue="1">
      <formula>IF($D43=3,"VRAI","FAUX")</formula>
    </cfRule>
    <cfRule type="expression" dxfId="12" priority="17" stopIfTrue="1">
      <formula>IF($D43=2,"VRAI","FAUX")</formula>
    </cfRule>
    <cfRule type="expression" dxfId="11" priority="18" stopIfTrue="1">
      <formula>IF($D43=1,"VRAI","FAUX")</formula>
    </cfRule>
    <cfRule type="expression" dxfId="10" priority="19" stopIfTrue="1">
      <formula>IF($D43=0,"VRAI","FAUX")</formula>
    </cfRule>
  </conditionalFormatting>
  <conditionalFormatting sqref="D44">
    <cfRule type="containsBlanks" dxfId="9" priority="13">
      <formula>LEN(TRIM(D44))=0</formula>
    </cfRule>
    <cfRule type="iconSet" priority="14">
      <iconSet iconSet="4ArrowsGray">
        <cfvo type="percent" val="0"/>
        <cfvo type="num" val="1"/>
        <cfvo type="num" val="2"/>
        <cfvo type="num" val="3"/>
      </iconSet>
    </cfRule>
  </conditionalFormatting>
  <conditionalFormatting sqref="F44">
    <cfRule type="expression" priority="8" stopIfTrue="1">
      <formula>IF($D44="","VRAI","FAUX")</formula>
    </cfRule>
    <cfRule type="expression" dxfId="8" priority="9" stopIfTrue="1">
      <formula>IF($D44=3,"VRAI","FAUX")</formula>
    </cfRule>
    <cfRule type="expression" dxfId="7" priority="10" stopIfTrue="1">
      <formula>IF($D44=2,"VRAI","FAUX")</formula>
    </cfRule>
    <cfRule type="expression" dxfId="6" priority="11" stopIfTrue="1">
      <formula>IF($D44=1,"VRAI","FAUX")</formula>
    </cfRule>
    <cfRule type="expression" dxfId="5" priority="12" stopIfTrue="1">
      <formula>IF($D44=0,"VRAI","FAUX")</formula>
    </cfRule>
  </conditionalFormatting>
  <conditionalFormatting sqref="D45">
    <cfRule type="containsBlanks" dxfId="4" priority="6">
      <formula>LEN(TRIM(D45))=0</formula>
    </cfRule>
    <cfRule type="iconSet" priority="7">
      <iconSet iconSet="4ArrowsGray">
        <cfvo type="percent" val="0"/>
        <cfvo type="num" val="1"/>
        <cfvo type="num" val="2"/>
        <cfvo type="num" val="3"/>
      </iconSet>
    </cfRule>
  </conditionalFormatting>
  <conditionalFormatting sqref="F45">
    <cfRule type="expression" priority="1" stopIfTrue="1">
      <formula>IF($D45="","VRAI","FAUX")</formula>
    </cfRule>
    <cfRule type="expression" dxfId="3" priority="2" stopIfTrue="1">
      <formula>IF($D45=3,"VRAI","FAUX")</formula>
    </cfRule>
    <cfRule type="expression" dxfId="2" priority="3" stopIfTrue="1">
      <formula>IF($D45=2,"VRAI","FAUX")</formula>
    </cfRule>
    <cfRule type="expression" dxfId="1" priority="4" stopIfTrue="1">
      <formula>IF($D45=1,"VRAI","FAUX")</formula>
    </cfRule>
    <cfRule type="expression" dxfId="0" priority="5" stopIfTrue="1">
      <formula>IF($D45=0,"VRAI","FAUX")</formula>
    </cfRule>
  </conditionalFormatting>
  <dataValidations count="1">
    <dataValidation type="list" allowBlank="1" showInputMessage="1" showErrorMessage="1" sqref="D5:D14 D18:D19 D23:D28 D32:D37 D41:D45">
      <formula1>"0,1,2,3"</formula1>
    </dataValidation>
  </dataValidations>
  <printOptions horizontalCentered="1"/>
  <pageMargins left="0.7" right="0.7" top="0.75" bottom="0.75" header="0.3" footer="0.3"/>
  <pageSetup paperSize="9" scale="60" orientation="landscape" r:id="rId1"/>
  <headerFooter>
    <oddHeader>&amp;L&amp;"ETML L,Normal"ETML&amp;RSection Informatique</oddHeader>
    <oddFooter>&amp;L&amp;D&amp;C&amp;F - &amp;A&amp;R&amp;P/&amp;N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FE472C55FCB94B80E29264F294A81F" ma:contentTypeVersion="2" ma:contentTypeDescription="Crée un document." ma:contentTypeScope="" ma:versionID="d6e95ebe47274703dd5a20781e04181f">
  <xsd:schema xmlns:xsd="http://www.w3.org/2001/XMLSchema" xmlns:xs="http://www.w3.org/2001/XMLSchema" xmlns:p="http://schemas.microsoft.com/office/2006/metadata/properties" xmlns:ns2="344f3572-2011-4a5d-ad9d-56314352c959" targetNamespace="http://schemas.microsoft.com/office/2006/metadata/properties" ma:root="true" ma:fieldsID="5d91ae9ae549bfbbd53775faf5c1eb95" ns2:_="">
    <xsd:import namespace="344f3572-2011-4a5d-ad9d-56314352c95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4f3572-2011-4a5d-ad9d-56314352c9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DEDAA77-01DE-4DA9-B903-2CCFB0583AF0}"/>
</file>

<file path=customXml/itemProps2.xml><?xml version="1.0" encoding="utf-8"?>
<ds:datastoreItem xmlns:ds="http://schemas.openxmlformats.org/officeDocument/2006/customXml" ds:itemID="{13BF4C13-C103-4273-A1AB-83803680877B}"/>
</file>

<file path=customXml/itemProps3.xml><?xml version="1.0" encoding="utf-8"?>
<ds:datastoreItem xmlns:ds="http://schemas.openxmlformats.org/officeDocument/2006/customXml" ds:itemID="{B4991604-99BD-4E4F-88D2-F8149FFCA87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Parametres</vt:lpstr>
      <vt:lpstr>ObjectifMaster</vt:lpstr>
      <vt:lpstr>Intro</vt:lpstr>
      <vt:lpstr>Objectif1</vt:lpstr>
      <vt:lpstr>Objectif2</vt:lpstr>
      <vt:lpstr>Objectif3</vt:lpstr>
      <vt:lpstr>Objectif4</vt:lpstr>
      <vt:lpstr>Objectif5</vt:lpstr>
      <vt:lpstr>GrilleMaster</vt:lpstr>
      <vt:lpstr>ErrCorrection</vt:lpstr>
      <vt:lpstr>FormatConditionnel1</vt:lpstr>
      <vt:lpstr>FormatConditionnel2</vt:lpstr>
      <vt:lpstr>FormatConditionnel3</vt:lpstr>
      <vt:lpstr>FormatConditionnel4</vt:lpstr>
      <vt:lpstr>FormatMoyenneClasse1</vt:lpstr>
      <vt:lpstr>FormatMoyenneClasse5</vt:lpstr>
      <vt:lpstr>FormatNoteEleve1</vt:lpstr>
      <vt:lpstr>FormatNoteEleve5</vt:lpstr>
      <vt:lpstr>NivTaxo</vt:lpstr>
      <vt:lpstr>PointsAttributions</vt:lpstr>
      <vt:lpstr>Intro!Print_Area</vt:lpstr>
    </vt:vector>
  </TitlesOfParts>
  <Company>ETML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Grille d'évaluation</dc:title>
  <dc:subject>Evaluations</dc:subject>
  <dc:creator>Jonathan Melly</dc:creator>
  <cp:keywords>Modele; Grille; Evaluation</cp:keywords>
  <dc:description>Version 13 du 31 août  2015 :
Corrigé un bug qui empéchait d'inscrire le nom correct de l'élève en haut à gauche de sa feuille si on créait une nouvelle feuille après que d'autres aient déjà été créées et corrigées</dc:description>
  <cp:lastModifiedBy>Admin</cp:lastModifiedBy>
  <cp:lastPrinted>2012-06-12T11:06:16Z</cp:lastPrinted>
  <dcterms:created xsi:type="dcterms:W3CDTF">2002-01-31T16:50:36Z</dcterms:created>
  <dcterms:modified xsi:type="dcterms:W3CDTF">2021-07-01T20:09:09Z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0x01010020FE472C55FCB94B80E29264F294A81F</vt:lpwstr>
  </property>
</Properties>
</file>